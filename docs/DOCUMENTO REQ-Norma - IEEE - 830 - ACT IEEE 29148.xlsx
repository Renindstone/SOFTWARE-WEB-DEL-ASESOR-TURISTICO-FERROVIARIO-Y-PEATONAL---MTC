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16DC53B2-8BDC-4EF2-B5B0-E2C798C0FAFC}" xr6:coauthVersionLast="47" xr6:coauthVersionMax="47" xr10:uidLastSave="{00000000-0000-0000-0000-000000000000}"/>
  <bookViews>
    <workbookView xWindow="-108" yWindow="-108" windowWidth="23256" windowHeight="12576" activeTab="1" xr2:uid="{00000000-000D-0000-FFFF-FFFF00000000}"/>
  </bookViews>
  <sheets>
    <sheet name="INICIO" sheetId="2" r:id="rId1"/>
    <sheet name="EVA" sheetId="6" r:id="rId2"/>
    <sheet name="RES-RF-RNF" sheetId="1" r:id="rId3"/>
    <sheet name="TABLAS" sheetId="7" r:id="rId4"/>
    <sheet name="DETALLE-IEEE" sheetId="8" r:id="rId5"/>
  </sheets>
  <externalReferences>
    <externalReference r:id="rId6"/>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08" i="6" l="1"/>
  <c r="K307" i="6"/>
  <c r="K306" i="6"/>
  <c r="K305" i="6"/>
  <c r="K304" i="6"/>
  <c r="K303" i="6"/>
  <c r="K302" i="6"/>
  <c r="K301" i="6"/>
  <c r="K300" i="6"/>
  <c r="K293" i="6"/>
  <c r="K292" i="6"/>
  <c r="K291" i="6"/>
  <c r="K290" i="6"/>
  <c r="K289" i="6"/>
  <c r="K288" i="6"/>
  <c r="K287" i="6"/>
  <c r="K286" i="6"/>
  <c r="K285" i="6"/>
  <c r="K278" i="6"/>
  <c r="K277" i="6"/>
  <c r="K276" i="6"/>
  <c r="K275" i="6"/>
  <c r="K274" i="6"/>
  <c r="K273" i="6"/>
  <c r="K272" i="6"/>
  <c r="K271" i="6"/>
  <c r="K270" i="6"/>
  <c r="B36" i="1"/>
  <c r="C36" i="1"/>
  <c r="K309" i="6" l="1"/>
  <c r="K279" i="6"/>
  <c r="K294" i="6"/>
  <c r="L292" i="6" l="1"/>
  <c r="C332" i="6"/>
  <c r="L278" i="6"/>
  <c r="C331" i="6"/>
  <c r="L300" i="6"/>
  <c r="C333" i="6"/>
  <c r="L291" i="6"/>
  <c r="L304" i="6"/>
  <c r="L274" i="6"/>
  <c r="L308" i="6"/>
  <c r="L286" i="6"/>
  <c r="L275" i="6"/>
  <c r="L271" i="6"/>
  <c r="L306" i="6"/>
  <c r="L302" i="6"/>
  <c r="L307" i="6"/>
  <c r="L270" i="6"/>
  <c r="L305" i="6"/>
  <c r="L301" i="6"/>
  <c r="L288" i="6"/>
  <c r="L289" i="6"/>
  <c r="L287" i="6"/>
  <c r="L290" i="6"/>
  <c r="L293" i="6"/>
  <c r="L272" i="6"/>
  <c r="L276" i="6"/>
  <c r="L277" i="6"/>
  <c r="L273" i="6"/>
  <c r="L303" i="6"/>
  <c r="L285" i="6"/>
  <c r="L279" i="6" l="1"/>
  <c r="L309" i="6"/>
  <c r="K263" i="6" l="1"/>
  <c r="K262" i="6"/>
  <c r="K261" i="6"/>
  <c r="K260" i="6"/>
  <c r="K259" i="6"/>
  <c r="K258" i="6"/>
  <c r="K257" i="6"/>
  <c r="K256" i="6"/>
  <c r="K255" i="6"/>
  <c r="K248" i="6"/>
  <c r="K247" i="6"/>
  <c r="K246" i="6"/>
  <c r="K245" i="6"/>
  <c r="K244" i="6"/>
  <c r="K243" i="6"/>
  <c r="K242" i="6"/>
  <c r="K241" i="6"/>
  <c r="K240" i="6"/>
  <c r="K233" i="6"/>
  <c r="K232" i="6"/>
  <c r="K231" i="6"/>
  <c r="K230" i="6"/>
  <c r="K229" i="6"/>
  <c r="K228" i="6"/>
  <c r="K227" i="6"/>
  <c r="K226" i="6"/>
  <c r="K225" i="6"/>
  <c r="K218" i="6"/>
  <c r="K217" i="6"/>
  <c r="K216" i="6"/>
  <c r="K215" i="6"/>
  <c r="K214" i="6"/>
  <c r="K213" i="6"/>
  <c r="K212" i="6"/>
  <c r="K211" i="6"/>
  <c r="K210" i="6"/>
  <c r="K203" i="6"/>
  <c r="K202" i="6"/>
  <c r="K201" i="6"/>
  <c r="K200" i="6"/>
  <c r="K199" i="6"/>
  <c r="K198" i="6"/>
  <c r="K197" i="6"/>
  <c r="K196" i="6"/>
  <c r="K195" i="6"/>
  <c r="K188" i="6"/>
  <c r="K187" i="6"/>
  <c r="K186" i="6"/>
  <c r="K185" i="6"/>
  <c r="K184" i="6"/>
  <c r="K183" i="6"/>
  <c r="K182" i="6"/>
  <c r="K181" i="6"/>
  <c r="K180" i="6"/>
  <c r="K173" i="6"/>
  <c r="K172" i="6"/>
  <c r="K171" i="6"/>
  <c r="K170" i="6"/>
  <c r="K169" i="6"/>
  <c r="K168" i="6"/>
  <c r="K167" i="6"/>
  <c r="K166" i="6"/>
  <c r="K165" i="6"/>
  <c r="K158" i="6"/>
  <c r="K157" i="6"/>
  <c r="K156" i="6"/>
  <c r="K155" i="6"/>
  <c r="K154" i="6"/>
  <c r="K153" i="6"/>
  <c r="K152" i="6"/>
  <c r="K151" i="6"/>
  <c r="K150" i="6"/>
  <c r="K143" i="6"/>
  <c r="K142" i="6"/>
  <c r="K141" i="6"/>
  <c r="K140" i="6"/>
  <c r="K139" i="6"/>
  <c r="K138" i="6"/>
  <c r="K137" i="6"/>
  <c r="K136" i="6"/>
  <c r="K135" i="6"/>
  <c r="K128" i="6"/>
  <c r="K127" i="6"/>
  <c r="K126" i="6"/>
  <c r="K125" i="6"/>
  <c r="K124" i="6"/>
  <c r="K123" i="6"/>
  <c r="K122" i="6"/>
  <c r="K121" i="6"/>
  <c r="K120" i="6"/>
  <c r="K113" i="6"/>
  <c r="K112" i="6"/>
  <c r="K111" i="6"/>
  <c r="K110" i="6"/>
  <c r="K109" i="6"/>
  <c r="K108" i="6"/>
  <c r="K107" i="6"/>
  <c r="K106" i="6"/>
  <c r="K105" i="6"/>
  <c r="K98" i="6"/>
  <c r="K97" i="6"/>
  <c r="K96" i="6"/>
  <c r="K95" i="6"/>
  <c r="K94" i="6"/>
  <c r="K93" i="6"/>
  <c r="K92" i="6"/>
  <c r="K91" i="6"/>
  <c r="K90" i="6"/>
  <c r="K77" i="6"/>
  <c r="K76" i="6"/>
  <c r="K75" i="6"/>
  <c r="K78" i="6"/>
  <c r="K79" i="6"/>
  <c r="K80" i="6"/>
  <c r="K81" i="6"/>
  <c r="K82" i="6"/>
  <c r="K83" i="6"/>
  <c r="K46" i="6"/>
  <c r="K68" i="6"/>
  <c r="K67" i="6"/>
  <c r="K66" i="6"/>
  <c r="K65" i="6"/>
  <c r="K64" i="6"/>
  <c r="K63" i="6"/>
  <c r="K62" i="6"/>
  <c r="K61" i="6"/>
  <c r="K60" i="6"/>
  <c r="K53" i="6"/>
  <c r="K52" i="6"/>
  <c r="K51" i="6"/>
  <c r="K50" i="6"/>
  <c r="K49" i="6"/>
  <c r="K48" i="6"/>
  <c r="K47" i="6"/>
  <c r="K45" i="6"/>
  <c r="K29" i="6"/>
  <c r="K37" i="6"/>
  <c r="K36" i="6"/>
  <c r="K35" i="6"/>
  <c r="K34" i="6"/>
  <c r="K33" i="6"/>
  <c r="K32" i="6"/>
  <c r="K31" i="6"/>
  <c r="K30" i="6"/>
  <c r="K21" i="6"/>
  <c r="K20" i="6"/>
  <c r="K19" i="6"/>
  <c r="K18" i="6"/>
  <c r="K17" i="6"/>
  <c r="K16" i="6"/>
  <c r="K15" i="6"/>
  <c r="K14" i="6"/>
  <c r="K13" i="6"/>
  <c r="B62" i="1"/>
  <c r="E36" i="1"/>
  <c r="E62" i="1" s="1"/>
  <c r="D36" i="1"/>
  <c r="D62" i="1" s="1"/>
  <c r="C62" i="1"/>
  <c r="B63" i="1" l="1"/>
  <c r="K264" i="6"/>
  <c r="K249" i="6"/>
  <c r="K234" i="6"/>
  <c r="C328" i="6" s="1"/>
  <c r="K189" i="6"/>
  <c r="K159" i="6"/>
  <c r="K204" i="6"/>
  <c r="K144" i="6"/>
  <c r="K219" i="6"/>
  <c r="C327" i="6" s="1"/>
  <c r="K174" i="6"/>
  <c r="K129" i="6"/>
  <c r="C321" i="6" s="1"/>
  <c r="K99" i="6"/>
  <c r="C319" i="6" s="1"/>
  <c r="K114" i="6"/>
  <c r="K84" i="6"/>
  <c r="K22" i="6"/>
  <c r="K38" i="6"/>
  <c r="L34" i="6" s="1"/>
  <c r="K69" i="6"/>
  <c r="K54" i="6"/>
  <c r="C316" i="6" s="1"/>
  <c r="D63" i="1"/>
  <c r="L245" i="6" l="1"/>
  <c r="C329" i="6"/>
  <c r="L261" i="6"/>
  <c r="C330" i="6"/>
  <c r="L67" i="6"/>
  <c r="C317" i="6"/>
  <c r="L137" i="6"/>
  <c r="C322" i="6"/>
  <c r="L201" i="6"/>
  <c r="C326" i="6"/>
  <c r="L154" i="6"/>
  <c r="C323" i="6"/>
  <c r="L109" i="6"/>
  <c r="C320" i="6"/>
  <c r="L180" i="6"/>
  <c r="C325" i="6"/>
  <c r="L37" i="6"/>
  <c r="C315" i="6"/>
  <c r="L75" i="6"/>
  <c r="C318" i="6"/>
  <c r="L91" i="6"/>
  <c r="L167" i="6"/>
  <c r="C324" i="6"/>
  <c r="L246" i="6"/>
  <c r="L241" i="6"/>
  <c r="L240" i="6"/>
  <c r="L260" i="6"/>
  <c r="L242" i="6"/>
  <c r="L263" i="6"/>
  <c r="L259" i="6"/>
  <c r="L255" i="6"/>
  <c r="L262" i="6"/>
  <c r="L258" i="6"/>
  <c r="L257" i="6"/>
  <c r="L248" i="6"/>
  <c r="L243" i="6"/>
  <c r="L244" i="6"/>
  <c r="L247" i="6"/>
  <c r="L256" i="6"/>
  <c r="L225" i="6"/>
  <c r="L232" i="6"/>
  <c r="L203" i="6"/>
  <c r="L166" i="6"/>
  <c r="L226" i="6"/>
  <c r="L198" i="6"/>
  <c r="L155" i="6"/>
  <c r="L165" i="6"/>
  <c r="L212" i="6"/>
  <c r="L214" i="6"/>
  <c r="L213" i="6"/>
  <c r="L142" i="6"/>
  <c r="L135" i="6"/>
  <c r="L141" i="6"/>
  <c r="L210" i="6"/>
  <c r="L217" i="6"/>
  <c r="L202" i="6"/>
  <c r="L197" i="6"/>
  <c r="L199" i="6"/>
  <c r="L182" i="6"/>
  <c r="L200" i="6"/>
  <c r="L170" i="6"/>
  <c r="L195" i="6"/>
  <c r="L138" i="6"/>
  <c r="L156" i="6"/>
  <c r="L158" i="6"/>
  <c r="L157" i="6"/>
  <c r="L150" i="6"/>
  <c r="L151" i="6"/>
  <c r="L140" i="6"/>
  <c r="L172" i="6"/>
  <c r="L211" i="6"/>
  <c r="L184" i="6"/>
  <c r="L227" i="6"/>
  <c r="L230" i="6"/>
  <c r="L153" i="6"/>
  <c r="L185" i="6"/>
  <c r="L218" i="6"/>
  <c r="L215" i="6"/>
  <c r="L187" i="6"/>
  <c r="L188" i="6"/>
  <c r="L186" i="6"/>
  <c r="L136" i="6"/>
  <c r="L183" i="6"/>
  <c r="L139" i="6"/>
  <c r="L228" i="6"/>
  <c r="L231" i="6"/>
  <c r="L233" i="6"/>
  <c r="L181" i="6"/>
  <c r="L168" i="6"/>
  <c r="L171" i="6"/>
  <c r="L173" i="6"/>
  <c r="L229" i="6"/>
  <c r="L169" i="6"/>
  <c r="L216" i="6"/>
  <c r="L143" i="6"/>
  <c r="L196" i="6"/>
  <c r="L152" i="6"/>
  <c r="L126" i="6"/>
  <c r="L122" i="6"/>
  <c r="L120" i="6"/>
  <c r="L127" i="6"/>
  <c r="L123" i="6"/>
  <c r="L124" i="6"/>
  <c r="L121" i="6"/>
  <c r="L128" i="6"/>
  <c r="L125" i="6"/>
  <c r="L108" i="6"/>
  <c r="L98" i="6"/>
  <c r="L82" i="6"/>
  <c r="L93" i="6"/>
  <c r="L106" i="6"/>
  <c r="L81" i="6"/>
  <c r="L105" i="6"/>
  <c r="L112" i="6"/>
  <c r="L110" i="6"/>
  <c r="L113" i="6"/>
  <c r="L94" i="6"/>
  <c r="L96" i="6"/>
  <c r="L95" i="6"/>
  <c r="L92" i="6"/>
  <c r="L90" i="6"/>
  <c r="L111" i="6"/>
  <c r="L97" i="6"/>
  <c r="L80" i="6"/>
  <c r="L76" i="6"/>
  <c r="L79" i="6"/>
  <c r="L78" i="6"/>
  <c r="L107" i="6"/>
  <c r="L77" i="6"/>
  <c r="L83" i="6"/>
  <c r="L45" i="6"/>
  <c r="L15" i="6"/>
  <c r="C314" i="6"/>
  <c r="L32" i="6"/>
  <c r="L13" i="6"/>
  <c r="L14" i="6"/>
  <c r="L21" i="6"/>
  <c r="L17" i="6"/>
  <c r="L18" i="6"/>
  <c r="L35" i="6"/>
  <c r="L36" i="6"/>
  <c r="L31" i="6"/>
  <c r="L29" i="6"/>
  <c r="L33" i="6"/>
  <c r="L65" i="6"/>
  <c r="L60" i="6"/>
  <c r="L30" i="6"/>
  <c r="L61" i="6"/>
  <c r="L63" i="6"/>
  <c r="L68" i="6"/>
  <c r="L66" i="6"/>
  <c r="L62" i="6"/>
  <c r="L64" i="6"/>
  <c r="L46" i="6"/>
  <c r="L47" i="6"/>
  <c r="L52" i="6"/>
  <c r="L48" i="6"/>
  <c r="L53" i="6"/>
  <c r="L49" i="6"/>
  <c r="L51" i="6"/>
  <c r="L50" i="6"/>
  <c r="L16" i="6"/>
  <c r="L20" i="6"/>
  <c r="L19" i="6"/>
  <c r="L294" i="6" l="1"/>
  <c r="L264" i="6"/>
  <c r="L249" i="6"/>
  <c r="L234" i="6"/>
  <c r="L129" i="6"/>
  <c r="L144" i="6"/>
  <c r="L159" i="6"/>
  <c r="L189" i="6"/>
  <c r="L174" i="6"/>
  <c r="L219" i="6"/>
  <c r="L204" i="6"/>
  <c r="L114" i="6"/>
  <c r="L84" i="6"/>
  <c r="L99" i="6"/>
  <c r="L69" i="6"/>
  <c r="L38" i="6"/>
  <c r="L54" i="6"/>
  <c r="L22" i="6"/>
  <c r="E24" i="7" l="1"/>
  <c r="E23" i="7"/>
  <c r="E2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DEPAR_SISTEMAS</author>
  </authors>
  <commentList>
    <comment ref="C13" authorId="0" shapeId="0" xr:uid="{08C46267-6713-4A81-9986-EFA54FD59B4E}">
      <text>
        <r>
          <rPr>
            <sz val="11"/>
            <color theme="1"/>
            <rFont val="Calibri"/>
            <family val="2"/>
          </rPr>
          <t>DEPAR_SISTEMAS:
10: El criterio de fila es mucho más importante que el criterio de columna.</t>
        </r>
      </text>
    </comment>
    <comment ref="D13" authorId="0" shapeId="0" xr:uid="{4993CA05-8CF0-4CE5-A8F7-AED8F5E095C6}">
      <text>
        <r>
          <rPr>
            <sz val="11"/>
            <color theme="1"/>
            <rFont val="Calibri"/>
            <family val="2"/>
          </rPr>
          <t>DEPAR_SISTEMAS:
1: Ambos criterios son igual de importantes.</t>
        </r>
      </text>
    </comment>
    <comment ref="E13" authorId="0" shapeId="0" xr:uid="{6C684080-F5EB-4421-86D4-CACB00B48E37}">
      <text>
        <r>
          <rPr>
            <sz val="11"/>
            <color theme="1"/>
            <rFont val="Calibri"/>
            <family val="2"/>
          </rPr>
          <t>DEPAR_SISTEMAS:
10: El criterio de fila es mucho más importante que el criterio de columna.</t>
        </r>
      </text>
    </comment>
    <comment ref="F13" authorId="0" shapeId="0" xr:uid="{A1C3844D-C46A-4CDA-89B1-568BD60BEFC7}">
      <text>
        <r>
          <rPr>
            <sz val="11"/>
            <color theme="1"/>
            <rFont val="Calibri"/>
            <family val="2"/>
          </rPr>
          <t>DEPAR_SISTEMAS:
10: El criterio de fila es mucho más importante que el criterio de columna.</t>
        </r>
      </text>
    </comment>
    <comment ref="G13" authorId="0" shapeId="0" xr:uid="{927BD40C-A84E-4549-A3FA-3C52A5ECB505}">
      <text>
        <r>
          <rPr>
            <sz val="11"/>
            <color theme="1"/>
            <rFont val="Calibri"/>
            <family val="2"/>
          </rPr>
          <t>DEPAR_SISTEMAS:
10: El criterio de fila es mucho más importante que el criterio de columna.</t>
        </r>
      </text>
    </comment>
    <comment ref="J13" authorId="0" shapeId="0" xr:uid="{978F42DB-0E13-4B5F-B404-68E579D06799}">
      <text>
        <r>
          <rPr>
            <sz val="11"/>
            <color theme="1"/>
            <rFont val="Calibri"/>
            <family val="2"/>
          </rPr>
          <t>DEPAR_SISTEMAS:
10: El criterio de fila es mucho más importante que el criterio de columna.</t>
        </r>
      </text>
    </comment>
    <comment ref="B14" authorId="0" shapeId="0" xr:uid="{9A713BE1-EFA8-4DDE-B103-6E2B81AA5944}">
      <text>
        <r>
          <rPr>
            <sz val="11"/>
            <color theme="1"/>
            <rFont val="Calibri"/>
            <family val="2"/>
          </rPr>
          <t>DEPAR_SISTEMAS:
0.1: El criterio de fila es mucho menos importante que el criterio de columna.</t>
        </r>
      </text>
    </comment>
    <comment ref="D14" authorId="0" shapeId="0" xr:uid="{A7DB9752-4F92-486D-9FBB-D38B4389653D}">
      <text>
        <r>
          <rPr>
            <sz val="11"/>
            <color theme="1"/>
            <rFont val="Calibri"/>
            <family val="2"/>
          </rPr>
          <t>DEPAR_SISTEMAS:
5: El criterio de fila es más importante que el criterio de columna.</t>
        </r>
      </text>
    </comment>
    <comment ref="E14" authorId="0" shapeId="0" xr:uid="{A4BC4D77-9C88-486B-BBAD-63248500D2CA}">
      <text>
        <r>
          <rPr>
            <sz val="11"/>
            <color theme="1"/>
            <rFont val="Calibri"/>
            <family val="2"/>
          </rPr>
          <t>DEPAR_SISTEMAS:
1: Ambos criterios son igual de importantes.</t>
        </r>
      </text>
    </comment>
    <comment ref="F14" authorId="0" shapeId="0" xr:uid="{D6E90E05-096A-4683-8891-732FAE958328}">
      <text>
        <r>
          <rPr>
            <sz val="11"/>
            <color theme="1"/>
            <rFont val="Calibri"/>
            <family val="2"/>
          </rPr>
          <t>DEPAR_SISTEMAS:
5: El criterio de fila es más importante que el criterio de columna.</t>
        </r>
      </text>
    </comment>
    <comment ref="G14" authorId="0" shapeId="0" xr:uid="{8B745A6D-FD82-470A-B9CA-72CEF3B8C30C}">
      <text>
        <r>
          <rPr>
            <sz val="11"/>
            <color theme="1"/>
            <rFont val="Calibri"/>
            <family val="2"/>
          </rPr>
          <t>DEPAR_SISTEMAS:
10: El criterio de fila es mucho más importante que el criterio de columna.</t>
        </r>
      </text>
    </comment>
    <comment ref="B15" authorId="0" shapeId="0" xr:uid="{8A018546-21B4-4F32-8F9D-C01B6E947EC5}">
      <text>
        <r>
          <rPr>
            <sz val="11"/>
            <color theme="1"/>
            <rFont val="Calibri"/>
            <family val="2"/>
          </rPr>
          <t>DEPAR_SISTEMAS:
1: Ambos criterios son igual de importantes.</t>
        </r>
      </text>
    </comment>
    <comment ref="C15" authorId="0" shapeId="0" xr:uid="{E268752C-3A74-49EA-85C3-610A05501E8C}">
      <text>
        <r>
          <rPr>
            <sz val="11"/>
            <color theme="1"/>
            <rFont val="Calibri"/>
            <family val="2"/>
          </rPr>
          <t>DEPAR_SISTEMAS:
0.2: El criterio de fila es menos importante que el criterio de columna.</t>
        </r>
      </text>
    </comment>
    <comment ref="E15" authorId="0" shapeId="0" xr:uid="{386C467B-C6BF-4619-8CE8-0136FC06A362}">
      <text>
        <r>
          <rPr>
            <sz val="11"/>
            <color theme="1"/>
            <rFont val="Calibri"/>
            <family val="2"/>
          </rPr>
          <t>DEPAR_SISTEMAS:
5: El criterio de fila es más importante que el criterio de columna.</t>
        </r>
      </text>
    </comment>
    <comment ref="F15" authorId="0" shapeId="0" xr:uid="{C84B0268-0DC4-4974-B373-5999A20ABACE}">
      <text>
        <r>
          <rPr>
            <sz val="11"/>
            <color theme="1"/>
            <rFont val="Calibri"/>
            <family val="2"/>
          </rPr>
          <t>DEPAR_SISTEMAS:
5: El criterio de fila es más importante que el criterio de columna.</t>
        </r>
      </text>
    </comment>
    <comment ref="G15" authorId="0" shapeId="0" xr:uid="{A25DD319-BE29-4A9B-A57A-4361040BDA36}">
      <text>
        <r>
          <rPr>
            <sz val="11"/>
            <color theme="1"/>
            <rFont val="Calibri"/>
            <family val="2"/>
          </rPr>
          <t>DEPAR_SISTEMAS:
1: Ambos criterios son igual de importantes.</t>
        </r>
      </text>
    </comment>
    <comment ref="B16" authorId="0" shapeId="0" xr:uid="{74FAA19A-A7CF-4931-BC40-26BF763C11D6}">
      <text>
        <r>
          <rPr>
            <sz val="11"/>
            <color theme="1"/>
            <rFont val="Calibri"/>
            <family val="2"/>
          </rPr>
          <t>DEPAR_SISTEMAS:
0.1: El criterio de fila es mucho menos importante que el criterio de columna.</t>
        </r>
      </text>
    </comment>
    <comment ref="C16" authorId="0" shapeId="0" xr:uid="{02962474-65B2-419B-844A-5DD21A656E00}">
      <text>
        <r>
          <rPr>
            <sz val="11"/>
            <color theme="1"/>
            <rFont val="Calibri"/>
            <family val="2"/>
          </rPr>
          <t>DEPAR_SISTEMAS:
1: Ambos criterios son igual de importantes.</t>
        </r>
      </text>
    </comment>
    <comment ref="D16" authorId="0" shapeId="0" xr:uid="{2E3105BA-C384-49E6-8144-45E54FBE1A06}">
      <text>
        <r>
          <rPr>
            <sz val="11"/>
            <color theme="1"/>
            <rFont val="Calibri"/>
            <family val="2"/>
          </rPr>
          <t>DEPAR_SISTEMAS:
0.2: El criterio de fila es menos importante que el criterio de columna.</t>
        </r>
      </text>
    </comment>
    <comment ref="F16" authorId="0" shapeId="0" xr:uid="{41C44258-391D-4BE4-B912-F0DE24EF5A15}">
      <text>
        <r>
          <rPr>
            <sz val="11"/>
            <color theme="1"/>
            <rFont val="Calibri"/>
            <family val="2"/>
          </rPr>
          <t>DEPAR_SISTEMAS:
5: El criterio de fila es más importante que el criterio de columna.</t>
        </r>
      </text>
    </comment>
    <comment ref="G16" authorId="0" shapeId="0" xr:uid="{9094F67F-519C-4A19-9AF9-04532AA43808}">
      <text>
        <r>
          <rPr>
            <sz val="11"/>
            <color theme="1"/>
            <rFont val="Calibri"/>
            <family val="2"/>
          </rPr>
          <t>DEPAR_SISTEMAS:
5: El criterio de fila es más importante que el criterio de columna.</t>
        </r>
      </text>
    </comment>
    <comment ref="B17" authorId="0" shapeId="0" xr:uid="{D534BE2E-012B-4E42-85B7-F524820F7561}">
      <text>
        <r>
          <rPr>
            <sz val="11"/>
            <color theme="1"/>
            <rFont val="Calibri"/>
            <family val="2"/>
          </rPr>
          <t>DEPAR_SISTEMAS:
0.1: El criterio de fila es mucho menos importante que el criterio de columna.</t>
        </r>
      </text>
    </comment>
    <comment ref="D17" authorId="0" shapeId="0" xr:uid="{476885D6-1C70-4704-95B7-ADB89E3A3C8D}">
      <text>
        <r>
          <rPr>
            <sz val="11"/>
            <color theme="1"/>
            <rFont val="Calibri"/>
            <family val="2"/>
          </rPr>
          <t>DEPAR_SISTEMAS:
0.2: El criterio de fila es menos importante que el criterio de columna.</t>
        </r>
      </text>
    </comment>
    <comment ref="E17" authorId="0" shapeId="0" xr:uid="{37A80913-F395-49AF-AD1C-A815AA46A01A}">
      <text>
        <r>
          <rPr>
            <sz val="11"/>
            <color theme="1"/>
            <rFont val="Calibri"/>
            <family val="2"/>
          </rPr>
          <t>DEPAR_SISTEMAS:
0.2: El criterio de fila es menos importante que el criterio de columna.</t>
        </r>
      </text>
    </comment>
    <comment ref="G17" authorId="0" shapeId="0" xr:uid="{3022E18B-9864-4FB7-9CD5-9C06E365A40A}">
      <text>
        <r>
          <rPr>
            <sz val="11"/>
            <color theme="1"/>
            <rFont val="Calibri"/>
            <family val="2"/>
          </rPr>
          <t>DEPAR_SISTEMAS:
1: Ambos criterios son igual de importantes.</t>
        </r>
      </text>
    </comment>
    <comment ref="B18" authorId="0" shapeId="0" xr:uid="{237CCBFC-3D16-4154-91E2-B0C64159B4C3}">
      <text>
        <r>
          <rPr>
            <sz val="11"/>
            <color theme="1"/>
            <rFont val="Calibri"/>
            <family val="2"/>
          </rPr>
          <t>DEPAR_SISTEMAS:
0.1: El criterio de fila es mucho menos importante que el criterio de columna.</t>
        </r>
      </text>
    </comment>
    <comment ref="C18" authorId="0" shapeId="0" xr:uid="{C588D825-4111-4948-AB44-84FD2767634F}">
      <text>
        <r>
          <rPr>
            <sz val="11"/>
            <color theme="1"/>
            <rFont val="Calibri"/>
            <family val="2"/>
          </rPr>
          <t>DEPAR_SISTEMAS:
0.1: El criterio de fila es mucho menos importante que el criterio de columna.</t>
        </r>
      </text>
    </comment>
    <comment ref="D18" authorId="0" shapeId="0" xr:uid="{A5F57451-FC95-44DA-8676-DF4F761176D0}">
      <text>
        <r>
          <rPr>
            <sz val="11"/>
            <color theme="1"/>
            <rFont val="Calibri"/>
            <family val="2"/>
          </rPr>
          <t>DEPAR_SISTEMAS:
1: Ambos criterios son igual de importantes.</t>
        </r>
      </text>
    </comment>
    <comment ref="E18" authorId="0" shapeId="0" xr:uid="{08019748-2906-4BF8-BAD5-058D174B42D2}">
      <text>
        <r>
          <rPr>
            <sz val="11"/>
            <color theme="1"/>
            <rFont val="Calibri"/>
            <family val="2"/>
          </rPr>
          <t>DEPAR_SISTEMAS:
0.2: El criterio de fila es menos importante que el criterio de columna.</t>
        </r>
      </text>
    </comment>
    <comment ref="F18" authorId="0" shapeId="0" xr:uid="{A716F286-9C7E-4502-A349-6E431B7FB1DF}">
      <text>
        <r>
          <rPr>
            <sz val="11"/>
            <color theme="1"/>
            <rFont val="Calibri"/>
            <family val="2"/>
          </rPr>
          <t>DEPAR_SISTEMAS:
1: Ambos criterios son igual de importantes.</t>
        </r>
      </text>
    </comment>
    <comment ref="B21" authorId="0" shapeId="0" xr:uid="{AD6FA7E0-B1C8-406A-A41B-77E2E0FEC6AA}">
      <text>
        <r>
          <rPr>
            <sz val="11"/>
            <color theme="1"/>
            <rFont val="Calibri"/>
            <family val="2"/>
          </rPr>
          <t>DEPAR_SISTEMAS:
0.1: El criterio de fila es mucho menos importante que el criterio de columna.</t>
        </r>
      </text>
    </comment>
    <comment ref="C45" authorId="0" shapeId="0" xr:uid="{9BFD9A2B-8A0B-4782-9A22-C93631736757}">
      <text>
        <r>
          <rPr>
            <sz val="11"/>
            <color theme="1"/>
            <rFont val="Calibri"/>
            <family val="2"/>
          </rPr>
          <t>DEPAR_SISTEMAS:
10: El criterio de fila es mucho más importante que el criterio de columna.</t>
        </r>
      </text>
    </comment>
    <comment ref="D45" authorId="0" shapeId="0" xr:uid="{48CB8A5C-BCB3-4FFD-9497-0DEEF47B75B0}">
      <text>
        <r>
          <rPr>
            <sz val="11"/>
            <color theme="1"/>
            <rFont val="Calibri"/>
            <family val="2"/>
          </rPr>
          <t>DEPAR_SISTEMAS:
5: El criterio de fila es más importante que el criterio de columna.</t>
        </r>
      </text>
    </comment>
    <comment ref="E45" authorId="0" shapeId="0" xr:uid="{8C5507A6-F293-4D9B-8744-DD54FA243422}">
      <text>
        <r>
          <rPr>
            <sz val="11"/>
            <color theme="1"/>
            <rFont val="Calibri"/>
            <family val="2"/>
          </rPr>
          <t>DEPAR_SISTEMAS:
5: El criterio de fila es más importante que el criterio de columna.</t>
        </r>
      </text>
    </comment>
    <comment ref="F45" authorId="0" shapeId="0" xr:uid="{82802A47-036F-4C0E-A59B-D518347E7E31}">
      <text>
        <r>
          <rPr>
            <sz val="11"/>
            <color theme="1"/>
            <rFont val="Calibri"/>
            <family val="2"/>
          </rPr>
          <t>DEPAR_SISTEMAS:
10: El criterio de fila es mucho más importante que el criterio de columna.</t>
        </r>
      </text>
    </comment>
    <comment ref="B46" authorId="0" shapeId="0" xr:uid="{92916275-2F12-4114-83FA-7FA24A911683}">
      <text>
        <r>
          <rPr>
            <sz val="11"/>
            <color theme="1"/>
            <rFont val="Calibri"/>
            <family val="2"/>
          </rPr>
          <t>DEPAR_SISTEMAS:
0.1: El criterio de fila es mucho menos importante que el criterio de columna.</t>
        </r>
      </text>
    </comment>
    <comment ref="D46" authorId="0" shapeId="0" xr:uid="{97EB619D-AFF1-4C68-B157-DC4EC16627F7}">
      <text>
        <r>
          <rPr>
            <sz val="11"/>
            <color theme="1"/>
            <rFont val="Calibri"/>
            <family val="2"/>
          </rPr>
          <t>DEPAR_SISTEMAS:
5: El criterio de fila es más importante que el criterio de columna.</t>
        </r>
      </text>
    </comment>
    <comment ref="E46" authorId="0" shapeId="0" xr:uid="{569F4E46-8327-4986-A69D-878BAA75F848}">
      <text>
        <r>
          <rPr>
            <sz val="11"/>
            <color theme="1"/>
            <rFont val="Calibri"/>
            <family val="2"/>
          </rPr>
          <t>DEPAR_SISTEMAS:
5: El criterio de fila es más importante que el criterio de columna.</t>
        </r>
      </text>
    </comment>
    <comment ref="F46" authorId="0" shapeId="0" xr:uid="{8A2E64FF-DF9D-471B-A2DA-7D7DE1A75880}">
      <text>
        <r>
          <rPr>
            <sz val="11"/>
            <color theme="1"/>
            <rFont val="Calibri"/>
            <family val="2"/>
          </rPr>
          <t>DEPAR_SISTEMAS:
5: El criterio de fila es más importante que el criterio de columna.</t>
        </r>
      </text>
    </comment>
    <comment ref="B47" authorId="0" shapeId="0" xr:uid="{37F3FDF5-C37F-4208-B320-10E0BE5E337E}">
      <text>
        <r>
          <rPr>
            <sz val="11"/>
            <color theme="1"/>
            <rFont val="Calibri"/>
            <family val="2"/>
          </rPr>
          <t>DEPAR_SISTEMAS:
0.2: El criterio de fila es menos importante que el criterio de columna.</t>
        </r>
      </text>
    </comment>
    <comment ref="C47" authorId="0" shapeId="0" xr:uid="{BF36726F-D305-400F-8428-223541DED1AB}">
      <text>
        <r>
          <rPr>
            <sz val="11"/>
            <color theme="1"/>
            <rFont val="Calibri"/>
            <family val="2"/>
          </rPr>
          <t>DEPAR_SISTEMAS:
0.2: El criterio de fila es menos importante que el criterio de columna.</t>
        </r>
      </text>
    </comment>
    <comment ref="E47" authorId="0" shapeId="0" xr:uid="{797D5962-9143-44EF-B8BF-4672CA519380}">
      <text>
        <r>
          <rPr>
            <sz val="11"/>
            <color theme="1"/>
            <rFont val="Calibri"/>
            <family val="2"/>
          </rPr>
          <t>DEPAR_SISTEMAS:
5: El criterio de fila es más importante que el criterio de columna.</t>
        </r>
      </text>
    </comment>
    <comment ref="F47" authorId="0" shapeId="0" xr:uid="{BD4B7779-6BD0-4CFB-BB1B-6B7CC0969DC1}">
      <text>
        <r>
          <rPr>
            <sz val="11"/>
            <color theme="1"/>
            <rFont val="Calibri"/>
            <family val="2"/>
          </rPr>
          <t>DEPAR_SISTEMAS:
5: El criterio de fila es más importante que el criterio de columna.</t>
        </r>
      </text>
    </comment>
    <comment ref="B48" authorId="0" shapeId="0" xr:uid="{C00F955B-9164-44E4-BDEE-ADFE205E72EF}">
      <text>
        <r>
          <rPr>
            <sz val="11"/>
            <color theme="1"/>
            <rFont val="Calibri"/>
            <family val="2"/>
          </rPr>
          <t>DEPAR_SISTEMAS:
0.2: El criterio de fila es menos importante que el criterio de columna.</t>
        </r>
      </text>
    </comment>
    <comment ref="C48" authorId="0" shapeId="0" xr:uid="{EA72B14E-4DD4-498B-9D77-ED1F0006C1A7}">
      <text>
        <r>
          <rPr>
            <sz val="11"/>
            <color theme="1"/>
            <rFont val="Calibri"/>
            <family val="2"/>
          </rPr>
          <t>DEPAR_SISTEMAS:
0.2: El criterio de fila es menos importante que el criterio de columna.</t>
        </r>
      </text>
    </comment>
    <comment ref="D48" authorId="0" shapeId="0" xr:uid="{3563D7B2-0328-403C-9027-81AE75F5F826}">
      <text>
        <r>
          <rPr>
            <sz val="11"/>
            <color theme="1"/>
            <rFont val="Calibri"/>
            <family val="2"/>
          </rPr>
          <t>DEPAR_SISTEMAS:
0.2: El criterio de fila es menos importante que el criterio de columna.</t>
        </r>
      </text>
    </comment>
    <comment ref="F48" authorId="0" shapeId="0" xr:uid="{31B4F46B-E124-4C70-81FB-97554E9A1F4A}">
      <text>
        <r>
          <rPr>
            <sz val="11"/>
            <color theme="1"/>
            <rFont val="Calibri"/>
            <family val="2"/>
          </rPr>
          <t>DEPAR_SISTEMAS:
5: El criterio de fila es más importante que el criterio de columna.</t>
        </r>
      </text>
    </comment>
    <comment ref="B49" authorId="0" shapeId="0" xr:uid="{C6375567-2132-4354-9834-23E36444629C}">
      <text>
        <r>
          <rPr>
            <sz val="11"/>
            <color theme="1"/>
            <rFont val="Calibri"/>
            <family val="2"/>
          </rPr>
          <t>DEPAR_SISTEMAS:
0.1: El criterio de fila es mucho menos importante que el criterio de columna.</t>
        </r>
      </text>
    </comment>
    <comment ref="C49" authorId="0" shapeId="0" xr:uid="{11CB3804-7849-498F-9351-D66F632CA46B}">
      <text>
        <r>
          <rPr>
            <sz val="11"/>
            <color theme="1"/>
            <rFont val="Calibri"/>
            <family val="2"/>
          </rPr>
          <t>DEPAR_SISTEMAS:
0.2: El criterio de fila es menos importante que el criterio de columna.</t>
        </r>
      </text>
    </comment>
    <comment ref="D49" authorId="0" shapeId="0" xr:uid="{3E08AF6E-DBC2-4AE8-BF84-A16382E0D73F}">
      <text>
        <r>
          <rPr>
            <sz val="11"/>
            <color theme="1"/>
            <rFont val="Calibri"/>
            <family val="2"/>
          </rPr>
          <t>DEPAR_SISTEMAS:
0.2: El criterio de fila es menos importante que el criterio de columna.</t>
        </r>
      </text>
    </comment>
    <comment ref="E49" authorId="0" shapeId="0" xr:uid="{C6C194A6-4294-439C-882E-ED551B3C9227}">
      <text>
        <r>
          <rPr>
            <sz val="11"/>
            <color theme="1"/>
            <rFont val="Calibri"/>
            <family val="2"/>
          </rPr>
          <t>DEPAR_SISTEMAS:
0.2: El criterio de fila es menos importante que el criterio de columna.</t>
        </r>
      </text>
    </comment>
    <comment ref="C75" authorId="0" shapeId="0" xr:uid="{9D5E54AF-79E8-4250-8253-43CF07F2291D}">
      <text>
        <r>
          <rPr>
            <sz val="11"/>
            <color theme="1"/>
            <rFont val="Calibri"/>
            <family val="2"/>
          </rPr>
          <t>DEPAR_SISTEMAS:
10: El criterio de fila es mucho más importante que el criterio de columna.</t>
        </r>
      </text>
    </comment>
    <comment ref="D75" authorId="0" shapeId="0" xr:uid="{6504F830-2507-4615-8F5F-0AE6D0EC2AF8}">
      <text>
        <r>
          <rPr>
            <sz val="11"/>
            <color theme="1"/>
            <rFont val="Calibri"/>
            <family val="2"/>
          </rPr>
          <t>DEPAR_SISTEMAS:
5: El criterio de fila es más importante que el criterio de columna.</t>
        </r>
      </text>
    </comment>
    <comment ref="E75" authorId="0" shapeId="0" xr:uid="{14ED3081-18A3-4C2C-9751-F4DBC9DDCCD3}">
      <text>
        <r>
          <rPr>
            <sz val="11"/>
            <color theme="1"/>
            <rFont val="Calibri"/>
            <family val="2"/>
          </rPr>
          <t>DEPAR_SISTEMAS:
5: El criterio de fila es más importante que el criterio de columna.</t>
        </r>
      </text>
    </comment>
    <comment ref="F75" authorId="0" shapeId="0" xr:uid="{B5879AC8-DBB8-404E-8EBF-9F22737FC791}">
      <text>
        <r>
          <rPr>
            <sz val="11"/>
            <color theme="1"/>
            <rFont val="Calibri"/>
            <family val="2"/>
          </rPr>
          <t>DEPAR_SISTEMAS:
5: El criterio de fila es más importante que el criterio de columna.</t>
        </r>
      </text>
    </comment>
    <comment ref="B76" authorId="0" shapeId="0" xr:uid="{07065785-6A88-4790-89DD-73A63AA4EB94}">
      <text>
        <r>
          <rPr>
            <sz val="11"/>
            <color theme="1"/>
            <rFont val="Calibri"/>
            <family val="2"/>
          </rPr>
          <t>DEPAR_SISTEMAS:
0.1: El criterio de fila es mucho menos importante que el criterio de columna.</t>
        </r>
      </text>
    </comment>
    <comment ref="D76" authorId="0" shapeId="0" xr:uid="{96163453-58EA-48E1-AADB-3E5188ABB5C9}">
      <text>
        <r>
          <rPr>
            <sz val="11"/>
            <color theme="1"/>
            <rFont val="Calibri"/>
            <family val="2"/>
          </rPr>
          <t>DEPAR_SISTEMAS:
5: El criterio de fila es más importante que el criterio de columna.</t>
        </r>
      </text>
    </comment>
    <comment ref="E76" authorId="0" shapeId="0" xr:uid="{C82E9909-E5CD-4E42-838E-1C60932D858B}">
      <text>
        <r>
          <rPr>
            <sz val="11"/>
            <color theme="1"/>
            <rFont val="Calibri"/>
            <family val="2"/>
          </rPr>
          <t>DEPAR_SISTEMAS:
5: El criterio de fila es más importante que el criterio de columna.</t>
        </r>
      </text>
    </comment>
    <comment ref="B77" authorId="0" shapeId="0" xr:uid="{15EAE52B-7B18-40C7-AC91-9017D8480594}">
      <text>
        <r>
          <rPr>
            <sz val="11"/>
            <color theme="1"/>
            <rFont val="Calibri"/>
            <family val="2"/>
          </rPr>
          <t>DEPAR_SISTEMAS:
0.2: El criterio de fila es menos importante que el criterio de columna.</t>
        </r>
      </text>
    </comment>
    <comment ref="C77" authorId="0" shapeId="0" xr:uid="{F4724DF8-3173-4A9E-801B-F658CD79820F}">
      <text>
        <r>
          <rPr>
            <sz val="11"/>
            <color theme="1"/>
            <rFont val="Calibri"/>
            <family val="2"/>
          </rPr>
          <t>DEPAR_SISTEMAS:
0.2: El criterio de fila es menos importante que el criterio de columna.</t>
        </r>
      </text>
    </comment>
    <comment ref="E77" authorId="0" shapeId="0" xr:uid="{F58901D4-26F6-46EE-8386-1757A203A32B}">
      <text>
        <r>
          <rPr>
            <sz val="11"/>
            <color theme="1"/>
            <rFont val="Calibri"/>
            <family val="2"/>
          </rPr>
          <t>DEPAR_SISTEMAS:
5: El criterio de fila es más importante que el criterio de columna.</t>
        </r>
      </text>
    </comment>
    <comment ref="F77" authorId="0" shapeId="0" xr:uid="{F9F2621B-F37A-411D-9203-6DF8AAD7F0BC}">
      <text>
        <r>
          <rPr>
            <sz val="11"/>
            <color theme="1"/>
            <rFont val="Calibri"/>
            <family val="2"/>
          </rPr>
          <t>DEPAR_SISTEMAS:
5: El criterio de fila es más importante que el criterio de columna.</t>
        </r>
      </text>
    </comment>
    <comment ref="B78" authorId="0" shapeId="0" xr:uid="{1B86B626-07B5-4A48-B82D-C3B40C91C440}">
      <text>
        <r>
          <rPr>
            <sz val="11"/>
            <color theme="1"/>
            <rFont val="Calibri"/>
            <family val="2"/>
          </rPr>
          <t>DEPAR_SISTEMAS:
0.2: El criterio de fila es menos importante que el criterio de columna.</t>
        </r>
      </text>
    </comment>
    <comment ref="C78" authorId="0" shapeId="0" xr:uid="{E3074758-E647-4992-837A-57B8F507F716}">
      <text>
        <r>
          <rPr>
            <sz val="11"/>
            <color theme="1"/>
            <rFont val="Calibri"/>
            <family val="2"/>
          </rPr>
          <t>DEPAR_SISTEMAS:
0.2: El criterio de fila es menos importante que el criterio de columna.</t>
        </r>
      </text>
    </comment>
    <comment ref="D78" authorId="0" shapeId="0" xr:uid="{DAF59FE0-24BB-4550-9893-39E20C111154}">
      <text>
        <r>
          <rPr>
            <sz val="11"/>
            <color theme="1"/>
            <rFont val="Calibri"/>
            <family val="2"/>
          </rPr>
          <t>DEPAR_SISTEMAS:
0.2: El criterio de fila es menos importante que el criterio de columna.</t>
        </r>
      </text>
    </comment>
    <comment ref="B79" authorId="0" shapeId="0" xr:uid="{E2362564-D121-4A86-98BB-611291276E20}">
      <text>
        <r>
          <rPr>
            <sz val="11"/>
            <color theme="1"/>
            <rFont val="Calibri"/>
            <family val="2"/>
          </rPr>
          <t>DEPAR_SISTEMAS:
0.2: El criterio de fila es menos importante que el criterio de columna.</t>
        </r>
      </text>
    </comment>
    <comment ref="C79" authorId="0" shapeId="0" xr:uid="{DE756B46-22DE-461D-830F-EA583171AD7C}">
      <text>
        <r>
          <rPr>
            <sz val="11"/>
            <color theme="1"/>
            <rFont val="Calibri"/>
            <family val="2"/>
          </rPr>
          <t>DEPAR_SISTEMAS:
0.2: El criterio de fila es menos importante que el criterio de columna.</t>
        </r>
      </text>
    </comment>
    <comment ref="D79" authorId="0" shapeId="0" xr:uid="{3AC407A5-52CD-457C-9DBA-1B67D241B49F}">
      <text>
        <r>
          <rPr>
            <sz val="11"/>
            <color theme="1"/>
            <rFont val="Calibri"/>
            <family val="2"/>
          </rPr>
          <t>DEPAR_SISTEMAS:
0.2: El criterio de fila es menos importante que el criterio de columna.</t>
        </r>
      </text>
    </comment>
    <comment ref="E79" authorId="0" shapeId="0" xr:uid="{CB716B61-0867-4AE4-878B-3961AC413990}">
      <text>
        <r>
          <rPr>
            <sz val="11"/>
            <color theme="1"/>
            <rFont val="Calibri"/>
            <family val="2"/>
          </rPr>
          <t>DEPAR_SISTEMAS:
0.2: El criterio de fila es menos importante que el criterio de columna.</t>
        </r>
      </text>
    </comment>
  </commentList>
</comments>
</file>

<file path=xl/sharedStrings.xml><?xml version="1.0" encoding="utf-8"?>
<sst xmlns="http://schemas.openxmlformats.org/spreadsheetml/2006/main" count="826" uniqueCount="289">
  <si>
    <t>N°</t>
  </si>
  <si>
    <t>RF – CASO</t>
  </si>
  <si>
    <t>RNF – CASO</t>
  </si>
  <si>
    <t>TOTAL</t>
  </si>
  <si>
    <t>RF - CUMPLIDOS - EVIDENCIADO - PRODUCTO</t>
  </si>
  <si>
    <t>RNF - CUMPLIDOS - EVIDENCIADO - PRODUCTO</t>
  </si>
  <si>
    <t>Restricción para evaluación: RF EVI &gt; 50 %</t>
  </si>
  <si>
    <t>Código:</t>
  </si>
  <si>
    <t>Versión:</t>
  </si>
  <si>
    <t>Fecha de la versión:</t>
  </si>
  <si>
    <t>Consorcio:</t>
  </si>
  <si>
    <t>Creado por:</t>
  </si>
  <si>
    <t>Aprobado por:</t>
  </si>
  <si>
    <t>Nombre del archivo:</t>
  </si>
  <si>
    <t>Nivel de confidencialidad:</t>
  </si>
  <si>
    <t>Media</t>
  </si>
  <si>
    <t>Nombre del Proyecto</t>
  </si>
  <si>
    <t>Siglas del Proyecto</t>
  </si>
  <si>
    <r>
      <t xml:space="preserve">Descripción del Proyecto: </t>
    </r>
    <r>
      <rPr>
        <i/>
        <sz val="11"/>
        <color rgb="FFFFFFFF"/>
        <rFont val="Calibri"/>
        <family val="2"/>
      </rPr>
      <t>Qué, quién, cómo, cuándo y dónde?</t>
    </r>
  </si>
  <si>
    <r>
      <t xml:space="preserve">Definición del Producto del Proyecto: </t>
    </r>
    <r>
      <rPr>
        <i/>
        <sz val="11"/>
        <color rgb="FFFFFFFF"/>
        <rFont val="Calibri"/>
        <family val="2"/>
      </rPr>
      <t>Descripción del producto, servicio o capacidad a generar.</t>
    </r>
  </si>
  <si>
    <t>Cuadro Resumen de Contraste de Evaluación de Cumplimiento</t>
  </si>
  <si>
    <t>Total</t>
  </si>
  <si>
    <t>Peso ponderado definido</t>
  </si>
  <si>
    <t>Necesario</t>
  </si>
  <si>
    <t>Completo</t>
  </si>
  <si>
    <t>Consistente</t>
  </si>
  <si>
    <t>Factible</t>
  </si>
  <si>
    <t>Verificable</t>
  </si>
  <si>
    <t>Un requerimiento esta completo si no necesita ampliar detalles en su redacción, es decir, si se proporciona la información suficiente para su comprensión.</t>
  </si>
  <si>
    <t>Si un requerimiento no se puede comprobar, entonces ¿Cómo se sabe si se cumplió con él o no? Debe ser posible verificarlo ya sea por inspección, análisis de prueba o demostración. Cuando se escriba un requerimiento, se deberá de determinar los criterios de aceptación.</t>
  </si>
  <si>
    <t>Ponderación de las Carteristicas</t>
  </si>
  <si>
    <t>RF:</t>
  </si>
  <si>
    <t>Procedemos igual con los demás criterios, teniendo en cuenta los reciprocos de cada calificación asignada:</t>
  </si>
  <si>
    <t>10 puntos: Valor reciproco de 0.1.</t>
  </si>
  <si>
    <t>5 puntos: Valor reciproco de 0.2.</t>
  </si>
  <si>
    <t>1 punto: Valor reciproco de 1 punto.</t>
  </si>
  <si>
    <t>0.2 puntos: Valor reciproco de 5 puntos.</t>
  </si>
  <si>
    <t>0.1 puntos: Valor reciproco de 10 puntos.</t>
  </si>
  <si>
    <t>REQ</t>
  </si>
  <si>
    <t xml:space="preserve">Adaptacion de </t>
  </si>
  <si>
    <t>Recomendaciones prácticas para la especificacion de requerimientos</t>
  </si>
  <si>
    <t>El requerimiento ofrece a los stakeholders el valor de negocio esperado, diferencia el producto de software de otros en el mercado, o es necesario para adecuarse a una regulación externa. ;Si se tiene alguna duda acerca de la necesidad del requerimiento, se pueden preguntar “¿Qué sería lo peor de no incluirlo?” Si no se encuentra una respuesta o cualquier consecuencia, entonces es probable que no sea un requerimiento necesario.</t>
  </si>
  <si>
    <t>Un requerimiento es consistente si no es contradictorio con otro requerimiento; Un ejemplo de contradicción es que el sistema de permisos autorice a usuarios a hacer cosas que no están en su tabla de acceso.</t>
  </si>
  <si>
    <t xml:space="preserve">Es posible implementar el requerimiento dentro de las capacidades y limitaciones del sistema y el proyecto. Por ejemplo, tenemos y conocemos el framework de desarrollo para hacerlo y contamos con el tiempo y el presupuesto necesarios.; </t>
  </si>
  <si>
    <t>INICIO DEL PROYECTO</t>
  </si>
  <si>
    <t>Concepto</t>
  </si>
  <si>
    <t>Objetivos</t>
  </si>
  <si>
    <t>criterio de Éxito</t>
  </si>
  <si>
    <t>1. Alcance</t>
  </si>
  <si>
    <t>Aprobación de todos los entregables por el cliente</t>
  </si>
  <si>
    <t>2. Tiempo</t>
  </si>
  <si>
    <r>
      <t xml:space="preserve">Concluir el proyecto en un plazo de </t>
    </r>
    <r>
      <rPr>
        <sz val="11"/>
        <color rgb="FFFF0000"/>
        <rFont val="Calibri"/>
        <family val="2"/>
      </rPr>
      <t>15</t>
    </r>
    <r>
      <rPr>
        <sz val="11"/>
        <color theme="1"/>
        <rFont val="Calibri"/>
        <family val="2"/>
      </rPr>
      <t xml:space="preserve"> días </t>
    </r>
  </si>
  <si>
    <t>3. Costo</t>
  </si>
  <si>
    <t>No exceder el presupuesto proyectado inicialmente</t>
  </si>
  <si>
    <t>Designación del especialista: analista de negocios.</t>
  </si>
  <si>
    <t>Designación del especialista: arquitecto de software.</t>
  </si>
  <si>
    <t>Designación del especialista: desarrollador.</t>
  </si>
  <si>
    <t>Designación del especialista: asegurador de calidad.</t>
  </si>
  <si>
    <t>Designación del especialista: jefe del proyecto.</t>
  </si>
  <si>
    <t>Cronograma de Hitos del Proyecto.</t>
  </si>
  <si>
    <t>Hito o Evento Significativo</t>
  </si>
  <si>
    <t>Fecha Programada</t>
  </si>
  <si>
    <t>Inicio del Proyecto</t>
  </si>
  <si>
    <t xml:space="preserve">2. Contratos. </t>
  </si>
  <si>
    <t xml:space="preserve">4. Implantación del Proyecto de IS. </t>
  </si>
  <si>
    <t xml:space="preserve">5. Informes. </t>
  </si>
  <si>
    <t xml:space="preserve">Fin del Proyecto. </t>
  </si>
  <si>
    <t>Organizaciones o Grupos Organizacionales que intervienen en el Proyecto.</t>
  </si>
  <si>
    <t>Organización o Grupo Organizacional</t>
  </si>
  <si>
    <t>Rol que desempeña</t>
  </si>
  <si>
    <t xml:space="preserve">USUARIO DE SERVICIOS DE INFORMACIÓN </t>
  </si>
  <si>
    <t>Cualquier funcionario de EMPRESA SAC o la persona natural o jurídica externa que en virtud de una relación comercial, haya sido autorizada por el responsable de la información, activo o servicio informático para el uso de la misma.</t>
  </si>
  <si>
    <t xml:space="preserve">ANALISTA DE NEGOCIOS </t>
  </si>
  <si>
    <t>ARQUITECTO DE SOFTWARE</t>
  </si>
  <si>
    <t>DESARROLLADOR</t>
  </si>
  <si>
    <t>ASEGURADOR DE CALIDAD</t>
  </si>
  <si>
    <t>JEFE DEL PROYECTO</t>
  </si>
  <si>
    <r>
      <t>Principales Amenazas del Proyecto</t>
    </r>
    <r>
      <rPr>
        <i/>
        <sz val="11"/>
        <color rgb="FFFFFFFF"/>
        <rFont val="Calibri"/>
        <family val="2"/>
      </rPr>
      <t>(Riesgos Negativos).</t>
    </r>
  </si>
  <si>
    <r>
      <t>·</t>
    </r>
    <r>
      <rPr>
        <sz val="7"/>
        <color theme="1"/>
        <rFont val="Times New Roman"/>
        <family val="1"/>
      </rPr>
      <t xml:space="preserve">         </t>
    </r>
    <r>
      <rPr>
        <sz val="11"/>
        <color theme="1"/>
        <rFont val="Calibri"/>
        <family val="2"/>
        <scheme val="minor"/>
      </rPr>
      <t>Falta de compromiso del equipo del proyecto</t>
    </r>
  </si>
  <si>
    <r>
      <t>·</t>
    </r>
    <r>
      <rPr>
        <sz val="7"/>
        <color theme="1"/>
        <rFont val="Times New Roman"/>
        <family val="1"/>
      </rPr>
      <t xml:space="preserve">         </t>
    </r>
    <r>
      <rPr>
        <sz val="11"/>
        <color theme="1"/>
        <rFont val="Calibri"/>
        <family val="2"/>
        <scheme val="minor"/>
      </rPr>
      <t>Falta de recursos asignados al proyecto</t>
    </r>
  </si>
  <si>
    <r>
      <t>·</t>
    </r>
    <r>
      <rPr>
        <sz val="7"/>
        <color theme="1"/>
        <rFont val="Times New Roman"/>
        <family val="1"/>
      </rPr>
      <t xml:space="preserve">         </t>
    </r>
    <r>
      <rPr>
        <sz val="11"/>
        <color theme="1"/>
        <rFont val="Calibri"/>
        <family val="2"/>
        <scheme val="minor"/>
      </rPr>
      <t>Ampliación de los plazos en los entregables</t>
    </r>
  </si>
  <si>
    <r>
      <t>·</t>
    </r>
    <r>
      <rPr>
        <sz val="7"/>
        <color theme="1"/>
        <rFont val="Times New Roman"/>
        <family val="1"/>
      </rPr>
      <t xml:space="preserve">         </t>
    </r>
    <r>
      <rPr>
        <sz val="11"/>
        <color theme="1"/>
        <rFont val="Calibri"/>
        <family val="2"/>
        <scheme val="minor"/>
      </rPr>
      <t>Cambios en los integrantes del equipo del proyecto</t>
    </r>
  </si>
  <si>
    <r>
      <t>·</t>
    </r>
    <r>
      <rPr>
        <sz val="7"/>
        <color theme="1"/>
        <rFont val="Times New Roman"/>
        <family val="1"/>
      </rPr>
      <t xml:space="preserve">         </t>
    </r>
    <r>
      <rPr>
        <sz val="11"/>
        <color theme="1"/>
        <rFont val="Calibri"/>
        <family val="2"/>
        <scheme val="minor"/>
      </rPr>
      <t>Inadecuada definición del alcance</t>
    </r>
  </si>
  <si>
    <r>
      <t>·</t>
    </r>
    <r>
      <rPr>
        <sz val="7"/>
        <color theme="1"/>
        <rFont val="Times New Roman"/>
        <family val="1"/>
      </rPr>
      <t xml:space="preserve">         </t>
    </r>
    <r>
      <rPr>
        <sz val="11"/>
        <color theme="1"/>
        <rFont val="Calibri"/>
        <family val="2"/>
        <scheme val="minor"/>
      </rPr>
      <t>Selección de demasiados controles y/o muy caros.</t>
    </r>
  </si>
  <si>
    <r>
      <t xml:space="preserve">Objetivos del Proyecto: </t>
    </r>
    <r>
      <rPr>
        <i/>
        <sz val="11"/>
        <rFont val="Calibri"/>
        <family val="2"/>
      </rPr>
      <t>Metas hacia las cuales se debe dirigir el trabajo del proyecto en términos de la triple restricción.</t>
    </r>
  </si>
  <si>
    <t>RF TOTAL</t>
  </si>
  <si>
    <t>RF EVI</t>
  </si>
  <si>
    <t>RNF TOTAL</t>
  </si>
  <si>
    <t>RNF EVI</t>
  </si>
  <si>
    <r>
      <t xml:space="preserve">5: El criterio de fila es </t>
    </r>
    <r>
      <rPr>
        <sz val="11"/>
        <color rgb="FFFF0000"/>
        <rFont val="Calibri"/>
        <family val="2"/>
        <scheme val="minor"/>
      </rPr>
      <t>más</t>
    </r>
    <r>
      <rPr>
        <sz val="11"/>
        <color theme="1"/>
        <rFont val="Calibri"/>
        <family val="2"/>
        <scheme val="minor"/>
      </rPr>
      <t xml:space="preserve"> importante que el criterio de columna.</t>
    </r>
  </si>
  <si>
    <r>
      <t xml:space="preserve">0.2: El criterio de fila es </t>
    </r>
    <r>
      <rPr>
        <sz val="11"/>
        <color rgb="FFFF0000"/>
        <rFont val="Calibri"/>
        <family val="2"/>
        <scheme val="minor"/>
      </rPr>
      <t>menos</t>
    </r>
    <r>
      <rPr>
        <sz val="11"/>
        <color theme="1"/>
        <rFont val="Calibri"/>
        <family val="2"/>
        <scheme val="minor"/>
      </rPr>
      <t xml:space="preserve"> importante que el criterio de columna.</t>
    </r>
  </si>
  <si>
    <r>
      <t xml:space="preserve">1: Ambos criterios son </t>
    </r>
    <r>
      <rPr>
        <sz val="11"/>
        <color rgb="FFFF0000"/>
        <rFont val="Calibri"/>
        <family val="2"/>
        <scheme val="minor"/>
      </rPr>
      <t xml:space="preserve">igual </t>
    </r>
    <r>
      <rPr>
        <sz val="11"/>
        <color theme="1"/>
        <rFont val="Calibri"/>
        <family val="2"/>
        <scheme val="minor"/>
      </rPr>
      <t>de importantes.</t>
    </r>
  </si>
  <si>
    <r>
      <t xml:space="preserve">10: El criterio de fila es </t>
    </r>
    <r>
      <rPr>
        <sz val="11"/>
        <color rgb="FFFF0000"/>
        <rFont val="Calibri"/>
        <family val="2"/>
        <scheme val="minor"/>
      </rPr>
      <t>mucho</t>
    </r>
    <r>
      <rPr>
        <sz val="11"/>
        <color theme="1"/>
        <rFont val="Calibri"/>
        <family val="2"/>
        <scheme val="minor"/>
      </rPr>
      <t xml:space="preserve"> </t>
    </r>
    <r>
      <rPr>
        <sz val="11"/>
        <color rgb="FFFF0000"/>
        <rFont val="Calibri"/>
        <family val="2"/>
        <scheme val="minor"/>
      </rPr>
      <t>más</t>
    </r>
    <r>
      <rPr>
        <sz val="11"/>
        <color theme="1"/>
        <rFont val="Calibri"/>
        <family val="2"/>
        <scheme val="minor"/>
      </rPr>
      <t xml:space="preserve"> importante que el criterio de columna.</t>
    </r>
  </si>
  <si>
    <r>
      <t xml:space="preserve">0.1: El criterio de fila es </t>
    </r>
    <r>
      <rPr>
        <sz val="11"/>
        <color rgb="FFFF0000"/>
        <rFont val="Calibri"/>
        <family val="2"/>
        <scheme val="minor"/>
      </rPr>
      <t>mucho</t>
    </r>
    <r>
      <rPr>
        <sz val="11"/>
        <color theme="1"/>
        <rFont val="Calibri"/>
        <family val="2"/>
        <scheme val="minor"/>
      </rPr>
      <t xml:space="preserve"> </t>
    </r>
    <r>
      <rPr>
        <sz val="11"/>
        <color rgb="FFFF0000"/>
        <rFont val="Calibri"/>
        <family val="2"/>
        <scheme val="minor"/>
      </rPr>
      <t>menos</t>
    </r>
    <r>
      <rPr>
        <sz val="11"/>
        <color theme="1"/>
        <rFont val="Calibri"/>
        <family val="2"/>
        <scheme val="minor"/>
      </rPr>
      <t xml:space="preserve"> importante que el criterio de columna.</t>
    </r>
  </si>
  <si>
    <r>
      <t xml:space="preserve">La dinámica consiste en preguntarnos, si cada criterio de la fila es </t>
    </r>
    <r>
      <rPr>
        <sz val="11"/>
        <color rgb="FFFF0000"/>
        <rFont val="Calibri"/>
        <family val="2"/>
        <scheme val="minor"/>
      </rPr>
      <t>más o menos importante</t>
    </r>
    <r>
      <rPr>
        <sz val="11"/>
        <color theme="1"/>
        <rFont val="Calibri"/>
        <family val="2"/>
        <scheme val="minor"/>
      </rPr>
      <t xml:space="preserve"> que el criterio de la columna. Recuerda que fila es a horizontal como columna es a vertical. </t>
    </r>
  </si>
  <si>
    <r>
      <t xml:space="preserve">El presupuesto del proyecto es de </t>
    </r>
    <r>
      <rPr>
        <b/>
        <sz val="11"/>
        <color theme="1"/>
        <rFont val="Calibri"/>
        <family val="2"/>
      </rPr>
      <t xml:space="preserve">S/. </t>
    </r>
    <r>
      <rPr>
        <b/>
        <sz val="11"/>
        <color rgb="FFFF0000"/>
        <rFont val="Calibri"/>
        <family val="2"/>
      </rPr>
      <t xml:space="preserve">00,000 </t>
    </r>
    <r>
      <rPr>
        <b/>
        <i/>
        <sz val="11"/>
        <color rgb="FFFF0000"/>
        <rFont val="Calibri"/>
        <family val="2"/>
      </rPr>
      <t>(No aplica en esta sesión)</t>
    </r>
  </si>
  <si>
    <t xml:space="preserve">3. Desarrollo de Proyectos. </t>
  </si>
  <si>
    <t xml:space="preserve">1. Identificación del Proyecto. </t>
  </si>
  <si>
    <t>Identificación</t>
  </si>
  <si>
    <t>Linea de Mando</t>
  </si>
  <si>
    <t>Reporta a: Gerente General</t>
  </si>
  <si>
    <t>Supervisa Operativa</t>
  </si>
  <si>
    <t>Supervisa a: Gerencia de TI</t>
  </si>
  <si>
    <t>Categoría de Gestión</t>
  </si>
  <si>
    <t>Información del Perfil</t>
  </si>
  <si>
    <t>Detalles de Autoridad y Supervisión</t>
  </si>
  <si>
    <t>Responsabilidad Técnica:</t>
  </si>
  <si>
    <t>Niveles de Autoridad Analista de Negocios</t>
  </si>
  <si>
    <t>Niveles de Autoridad del arquitecto de software.</t>
  </si>
  <si>
    <t>Niveles de Autoridad del desarrollador</t>
  </si>
  <si>
    <t>Niveles de Autoridad del jefe de proyecto</t>
  </si>
  <si>
    <t>Característica</t>
  </si>
  <si>
    <t>Documentación Informal</t>
  </si>
  <si>
    <t>Norma IEEE-830</t>
  </si>
  <si>
    <t>Claridad</t>
  </si>
  <si>
    <t>Sujeta a interpretaciones erróneas.</t>
  </si>
  <si>
    <t>Cada requisito es único e inequívoco.</t>
  </si>
  <si>
    <t>Validación</t>
  </si>
  <si>
    <t>Difícil de probar si se cumplió.</t>
  </si>
  <si>
    <t>Cada requisito debe ser verificable con pruebas.</t>
  </si>
  <si>
    <t>Organización</t>
  </si>
  <si>
    <t>Datos dispersos en notas o correos.</t>
  </si>
  <si>
    <t>Estructura jerárquica estandarizada.</t>
  </si>
  <si>
    <t>Autoridad</t>
  </si>
  <si>
    <t>Difícil de auditar o aprobar.</t>
  </si>
  <si>
    <t>Permite una aprobación formal por el Analista de Negocio.</t>
  </si>
  <si>
    <t>¿Qué es la Norma IEEE-830?</t>
  </si>
  <si>
    <t>Es un estándar internacional que define la forma correcta de redactar la Especificación de Requerimientos de Software (SRS). En lugar de escribir una lista de deseos, esta norma obliga a documentar cada detalle de forma que no existan dudas.</t>
  </si>
  <si>
    <t>Actualizacion - ISO/IEC/IEEE 29148</t>
  </si>
  <si>
    <t>Término 'Actualización' porque la norma IEEE 830 no desapareció conceptualmente, sino que evolucionó. El propio comité de la IEEE, en conjunto con ISO, tomó la base de la 830 y la actualizó para crear la ISO/IEC/IEEE 29148, adaptándola a las necesidades de los sistemas complejos actuales [ISO/IEC/IEEE 29148]. Por lo tanto, nuestro proyecto refleja esa misma actualización metodológica</t>
  </si>
  <si>
    <t>Singular</t>
  </si>
  <si>
    <t>No ambiguo</t>
  </si>
  <si>
    <t>Contiene una sola idea; El requerimiento provee una función o capacidad que es acorde con una necesidad de los stakeholders. evitando la combinación de múltiples requerimientos en un solo párrafo</t>
  </si>
  <si>
    <t>El requerimiento está escrito con total claridad y precisión, de modo que posee una única interpretación posible para todos los lectores. No utiliza términos vagos, subjetivos o que dejen espacio a la duda.</t>
  </si>
  <si>
    <t>Norma ISO/IEC/IEEE 29148</t>
  </si>
  <si>
    <t>Se exige la regla de Singularidad (una sola idea por párrafo) y uso mandatorio de sintaxis formal ("El sistema deberá...") para erradicar cualquier ambigüedad.</t>
  </si>
  <si>
    <t>Cada requisito incluye criterios de aceptación explícitos y trazabilidad bidireccional automatizada hacia los casos de prueba desde el inicio</t>
  </si>
  <si>
    <t>Proceso iterativo de gobernanza con aprobación conjunta de múltiples Stakeholders (Negocio, Desarrollo y Aseguramiento de Calidad) regulado por contratos globales.</t>
  </si>
  <si>
    <t>Arquitectura modular por niveles de abstracción (Negocio/Usuario/Sistema).</t>
  </si>
  <si>
    <t>¿Qué es la Norma ISO/IEC/IEEE 29148?</t>
  </si>
  <si>
    <t>Es el estándar internacional vigente que unifica y define los procesos para la Ingeniería de Requisitos en sistemas y software. En lugar de limitarse a una lista estática de deseos, esta norma establece una estructura modular obligatoria y una sintaxis formal que elimina por completo las ambigüedades técnicas.</t>
  </si>
  <si>
    <t>ISO (Organización Internacional de Normalización)</t>
  </si>
  <si>
    <t>IEC (Comisión Electrotécnica Internacional)</t>
  </si>
  <si>
    <t xml:space="preserve">Instituto de Ingenieros Eléctricos y Electrónicos </t>
  </si>
  <si>
    <t>Norma Base - IEEE - 830</t>
  </si>
  <si>
    <t>Modificable</t>
  </si>
  <si>
    <t>Que se pueda realizar alguna modificación sobre el requerimiento y esta sea sencilla, consistente y completa</t>
  </si>
  <si>
    <t>Rastreable</t>
  </si>
  <si>
    <t>La especificación se debe organizar de tal forma que cada función del sistema se pueda rastrear hasta su conjunto de requerimientos correspondiente. Facilita las pruebas y la validación del diseño</t>
  </si>
  <si>
    <r>
      <t>Instrucciones:</t>
    </r>
    <r>
      <rPr>
        <sz val="11"/>
        <color theme="1"/>
        <rFont val="Calibri"/>
        <family val="2"/>
        <scheme val="minor"/>
      </rPr>
      <t xml:space="preserve"> Para completar la matriz, compare el criterio que se encuentra en la fila (horizontal) con el criterio que se encuentra en la columna (vertical). En cada casilla debe preguntarse: ¿qué tan importante es el criterio de la fila respecto al criterio de la columna?. Si considera que el criterio de la fila es mucho más importante, coloque 10; si es más importante, coloque 5; si ambos tienen la misma importancia, coloque 1; si es menos importante, coloque 0.2; y si es mucho menos importante, coloque 0.1. Por ejemplo, si al comparar "Necesario" (fila) con "Verificable" (columna) considera que "Necesario" es más importante, debe colocar 5. Recuerde que la comparación siempre se realiza de la fila hacia la columna y que el valor contrario será el recíproco correspondiente.</t>
    </r>
  </si>
  <si>
    <t>Nombre: Rocha Sanchez, Carol Dacia</t>
  </si>
  <si>
    <t>Nombre: Tenazoa Nuñez Renzo</t>
  </si>
  <si>
    <t>Nombre: Britto Garcia, Ab Jhonatan</t>
  </si>
  <si>
    <t>Nombre: Vasquez Merino Andre</t>
  </si>
  <si>
    <t>El proyecto consiste en desarrollar e implementar para el Ministerio de Transportes y Comunicaciones (MTC) una plataforma web que integre información climática de SENAMHI, datos logístico-ferroviarios de PeruRail y el registro de zonas turísticas de Travel Group Perú. El sistema recomendará rutas turísticas exclusivamente peatonales, de ida y vuelta a la misma estación de origen, según las preferencias del turista.</t>
  </si>
  <si>
    <t>El alcance del proyecto es crear una plataforma software web responsive para asesoría turística ferroviaria y peatonal. Incluye integración periódica de datos externos, administración de zonas turísticas, consulta de estaciones, preferencias del turista, cálculo de rutas peatonales de ida y vuelta, pronóstico climático, control de aforo e informes consolidados en PDF/HTML. No incluye venta o reserva de pasajes, rutas en otros medios de transporte ni trayectos con más de una escala.</t>
  </si>
  <si>
    <r>
      <t>El proyecto contempla la implementación d</t>
    </r>
    <r>
      <rPr>
        <sz val="11"/>
        <rFont val="Calibri"/>
        <family val="2"/>
      </rPr>
      <t>e una plataforma software web que integre información climática (SENAMHI), logístico-ferroviaria (PeruRail) y turística (Travel Group Perú) para recomendar rutas turísticas peatonales desde estaciones de tren.</t>
    </r>
  </si>
  <si>
    <t>El proyecto debe terminar en el plazo estipulado.</t>
  </si>
  <si>
    <t>Analista de Requerimientos / Product Owner. Gestiona los requerimientos, prioriza el Product Backlog bajo la norma IEEE y representa las necesidades del MTC y de los turistas.</t>
  </si>
  <si>
    <t>Coordina sus actividades con los demás roles del equipo según la metodología Scrum.</t>
  </si>
  <si>
    <t>Da seguimiento a las actividades y entregables relacionados con su responsabilidad.</t>
  </si>
  <si>
    <t>Arquitecto de Software y Scrum Master. Define la arquitectura lógica y física y los patrones de integración con PeruRail, SENAMHI y Travel Group Perú.</t>
  </si>
  <si>
    <t>Nombre: Vasquez Merino, André</t>
  </si>
  <si>
    <t>Desarrollador Full Stack / Equipo de Desarrollo. Implementa persistencia, lógica de negocio, integraciones externas e interfaz web responsive.</t>
  </si>
  <si>
    <t>Responsabilidad Técnica: Implementar persistencia y lógica de negocio en backend, integraciones con servicios externos, seguridad e interfaz web responsive; desarrollar los módulos e historias asignadas.</t>
  </si>
  <si>
    <t>Asegurador de Calidad / Equipo de Desarrollo (QA/Tester). Planifica, ejecuta y documenta las pruebas del sistema.</t>
  </si>
  <si>
    <t>Responsabilidad Técnica: Planificar y diseñar matrices de pruebas de caja blanca y caja negra; ejecutar y documentar pruebas funcionales, de integración y de seguridad.</t>
  </si>
  <si>
    <t>Jefe de Proyecto / Scrum Master y Arquitecto de Software. Lidera al equipo bajo Scrum y elimina impedimentos.</t>
  </si>
  <si>
    <t>Responsabilidad Técnica: Liderar al equipo, facilitar Sprint Planning, Daily Scrum, Sprint Review y Sprint Retrospective, eliminar impedimentos, definir la arquitectura y coordinar la entrega de incrementos.</t>
  </si>
  <si>
    <t>Responsabilidad Técnica: (1)Gestionar y especificar requerimientos funcionales y no funcionales. (2) Priorizar el Product Backlog. (3) Validar historias de usuario y criterios de aceptación. (4) Representar las necesidades del MTC y del usuario final.</t>
  </si>
  <si>
    <t>Responsabilidad Técnica: (1) Definir la arquitectura lógica y física. (2) Establecer patrones de integración.  apoyar el diseño del motor de rutas y garantizar coherencia técnica de la solución.</t>
  </si>
  <si>
    <t>Persona que posee conocimientos especializados en entender lo que negocio necesita (reglas de gratificaciones, salarios por área, validaciones) y pasarlo a requerimientos técnicos y definir las reglas claras para el equipo de desarrollo.</t>
  </si>
  <si>
    <t>Persona que posee conocimientos especializados en diseñar la estructura general del sistema. Decide como se conectara la aplicación con la base de datos y sobre todo elegir las mejores herramientas tecnologicas obviamente dependiendo del alcance del negocio.</t>
  </si>
  <si>
    <t>Persona que posee conocimientos especializados en codificar correctamente la aplicación y toda la logica interna transformando correspondientemente a los requerimientos tecnicos anteriormente establecidos.</t>
  </si>
  <si>
    <t>Persona que posee conocimientos especializados en probar el sistema antes de que llegue al usuario final ya sea con diferentes metodos  de prueba como Pruebas de Caja Negra, que sea facil de usar y entender para el usuario final y que cumpla estrictamente con todas las reglas.</t>
  </si>
  <si>
    <t>Persona responsable de identificar y canalizar los requerimientos técnicos del sistema de información o aplicativo a su cargo y brindar soporte de este tipo a los usuarios.</t>
  </si>
  <si>
    <t>DE ACUERDO A CADA CASO 2026</t>
  </si>
  <si>
    <t>Software Web del Asesor Turístico Ferroviario y Peatonal - MTC</t>
  </si>
  <si>
    <t>IS-2026-001</t>
  </si>
  <si>
    <t>1.0</t>
  </si>
  <si>
    <t>27/08/2026</t>
  </si>
  <si>
    <t>MTC / Universidad Nacional de Ucayali</t>
  </si>
  <si>
    <t>Vasquez Merino, André Alejandro (Jefe de Proyecto / Scrum Master)</t>
  </si>
  <si>
    <t>Britto Garcia, Ab Jhonatan (Desarrollador Full Stack)</t>
  </si>
  <si>
    <t>Ing. Mg. Freddy Ferrari Fernandez</t>
  </si>
  <si>
    <t>ProyectoFinalSOftware.docx</t>
  </si>
  <si>
    <t>RF-01 Ingresar preferencias turísticas</t>
  </si>
  <si>
    <t>RF-01 – Formulario de preferencias implementado (Sprint 1)</t>
  </si>
  <si>
    <t>RNF-01 Rendimiento &lt; 2 segundos</t>
  </si>
  <si>
    <t>RNF-01 – Pruebas de rendimiento finales en búsqueda e informes</t>
  </si>
  <si>
    <t>RF-02 Seleccionar estación ferroviaria activa</t>
  </si>
  <si>
    <t>RF-02 – Selección de estación disponible en flujo del turista</t>
  </si>
  <si>
    <t>RNF-02 Diseño web responsive</t>
  </si>
  <si>
    <t>RNF-02 – Ajustes Bootstrap 5 para smartphones y tablets</t>
  </si>
  <si>
    <t>RF-03 Mostrar zonas turísticas filtradas</t>
  </si>
  <si>
    <t>RF-03 – Filtro de zonas según preferencias implementado (Sprint 2)</t>
  </si>
  <si>
    <t>RNF-03 Actualización periódica diaria de clima y PeruRail</t>
  </si>
  <si>
    <t>RF-04 Calcular ruta peatonal ida y vuelta</t>
  </si>
  <si>
    <t>RF-04 – Ruta peatonal ida/vuelta implementada (Sprint 2)</t>
  </si>
  <si>
    <t>RNF-04 Ruta validada como circuito cerrado</t>
  </si>
  <si>
    <t>RNF-04 – RutaPeatonalService valida circuito cerrado</t>
  </si>
  <si>
    <t>RF-05 Mostrar tiempo y dificultad de la ruta</t>
  </si>
  <si>
    <t>RF-05 – Distancia, tiempo y dificultad mostrados en detalle de ruta</t>
  </si>
  <si>
    <t>RNF-05 Seguridad por roles</t>
  </si>
  <si>
    <t>RNF-05 – Spring Security con cuatro roles y acceso denegado</t>
  </si>
  <si>
    <t>RF-06 Mostrar pronóstico climático SENAMHI</t>
  </si>
  <si>
    <t>RF-06 – SenamhiClient + PrevisionClima con sincronización diaria</t>
  </si>
  <si>
    <t>RNF-06 Escalabilidad mediante tablas paramétricas</t>
  </si>
  <si>
    <t>RNF-06 – TipoTurismo como tabla paramétrica</t>
  </si>
  <si>
    <t>RF-07 Mostrar precio del billete de tren</t>
  </si>
  <si>
    <t>RF-07 – Tarifa del tren mostrada en detalle de ruta</t>
  </si>
  <si>
    <t>RNF-07 Trazabilidad en AuditoriaLog</t>
  </si>
  <si>
    <t>RNF-07 – AuditoriaLog registra operaciones y sincronizaciones</t>
  </si>
  <si>
    <t>RF-08 Generar informe consolidado PDF/HTML</t>
  </si>
  <si>
    <t>RF-08 – InformeService PDF/HTML implementado (Sprint 4)</t>
  </si>
  <si>
    <t>RNF-08 Concurrencia: incremento atómico de aforo</t>
  </si>
  <si>
    <t>RNF-08 – AforoService usa incremento atómico del cupo</t>
  </si>
  <si>
    <t>RF-09 Listar estaciones con zonas asignadas</t>
  </si>
  <si>
    <t>RF-10 CRUD de zonas turísticas</t>
  </si>
  <si>
    <t>RF-10 – CRUD ZonaTuristica implementado (Sprint 1)</t>
  </si>
  <si>
    <t>RF-11 Consultar estaciones en solo lectura</t>
  </si>
  <si>
    <t>RF-11 – Consulta/sincronización de estaciones en solo lectura</t>
  </si>
  <si>
    <t>RF-12 Mantener horarios y precios de tren</t>
  </si>
  <si>
    <t>RF-13 Sincronizar estaciones, horarios y tarifas PeruRail</t>
  </si>
  <si>
    <t>RF-14 Sincronizar previsiones climáticas SENAMHI</t>
  </si>
  <si>
    <t>RF-14 – Sincronización diaria SENAMHI implementada</t>
  </si>
  <si>
    <t>RF-15 Registrar auditoría de sincronizaciones y CRUD</t>
  </si>
  <si>
    <t>RF-15 – AuditoriaLog e interceptor implementados (Sprint 3)</t>
  </si>
  <si>
    <t>RF-16 / RF-17 – Control de aforo</t>
  </si>
  <si>
    <t>Implementados en Sprint 4 mediante AforoService y ControlAforo; incluye validación del cupo e incremento atómico y configuración de ZonCupoMaximoDiario.</t>
  </si>
  <si>
    <t>RF no evidenciados plenamente</t>
  </si>
  <si>
    <t>RF-09 (listado estaciones-zonas), RF-12 (mantenimiento de horarios/precios) y RF-13 (sincronización PeruRail completa) no aparecen como implementación completa explícita en la sección de desarrollo.</t>
  </si>
  <si>
    <t>RNF-03 – Sincronización periódica</t>
  </si>
  <si>
    <t>SENAMHI sí está documentado con sincronización diaria; PeruRail aparece parcial en Sprint 1, por lo que no se marca como cumplimiento total.</t>
  </si>
  <si>
    <t>RF-01: Ingresar preferencias turísticas</t>
  </si>
  <si>
    <t>RF-02: Seleccionar una estación ferroviaria activa</t>
  </si>
  <si>
    <t>RF-03: Mostrar zonas turísticas cercanas filtradas según preferencias</t>
  </si>
  <si>
    <t>RF-04: Calcular la ruta peatonal recomendada de ida y vuelta</t>
  </si>
  <si>
    <t>RF-05: Mostrar tiempo estimado y nivel de dificultad de la ruta</t>
  </si>
  <si>
    <t>RF-06: Integrar y mostrar el pronóstico climático de SENAMHI</t>
  </si>
  <si>
    <t>RF-07: Mostrar el precio del billete de tren</t>
  </si>
  <si>
    <t>RF-08: Generar informe consolidado visualizable en PDF/HTML</t>
  </si>
  <si>
    <t>RF-09: Generar listado de estaciones con zonas turísticas asignadas</t>
  </si>
  <si>
    <t>RF-10: Registrar, actualizar y eliminar zonas turísticas (CRUD)</t>
  </si>
  <si>
    <t>RF-11: Consultar el listado de estaciones en modo de solo lectura</t>
  </si>
  <si>
    <t>RF-12: Mantener horarios y precios de los servicios de tren</t>
  </si>
  <si>
    <t>RF-13: Sincronizar periódicamente estaciones, horarios y tarifas de PeruRail</t>
  </si>
  <si>
    <t>RF-14: Sincronizar periódicamente previsiones climáticas de SENAMHI</t>
  </si>
  <si>
    <t>RF-15: Registrar auditoría de sincronizaciones y operaciones administrativas</t>
  </si>
  <si>
    <t>RF-16: Validar el aforo antes de generar el informe consolidado</t>
  </si>
  <si>
    <t>RF-17: Configurar y actualizar el cupo máximo diario de una zona turística</t>
  </si>
  <si>
    <t>RF01</t>
  </si>
  <si>
    <t>RF03</t>
  </si>
  <si>
    <t>RF08</t>
  </si>
  <si>
    <t>RF07</t>
  </si>
  <si>
    <t>RF02</t>
  </si>
  <si>
    <t>RF04</t>
  </si>
  <si>
    <t>RF05</t>
  </si>
  <si>
    <t>RF06</t>
  </si>
  <si>
    <t>RF09</t>
  </si>
  <si>
    <t>RF10</t>
  </si>
  <si>
    <t>RF11</t>
  </si>
  <si>
    <t>RF12</t>
  </si>
  <si>
    <t>RF13</t>
  </si>
  <si>
    <t>RF14</t>
  </si>
  <si>
    <t>RF15</t>
  </si>
  <si>
    <t>RF16</t>
  </si>
  <si>
    <t>RF17</t>
  </si>
  <si>
    <t>RF-16 Validar el aforo antes de generar el informe consolidado</t>
  </si>
  <si>
    <t>RF-16 – AforoService valida el cupo disponible antes de confirmar/generar el informe; implementación documentada en Sprint 4.</t>
  </si>
  <si>
    <t>RF-17 Configurar y actualizar el cupo máximo diario de una zona turística</t>
  </si>
  <si>
    <t>RF-17 – ControlAforo y ZonCupoMaximoDiario permiten configurar/actualizar el cupo máximo diario; implementación documentada en Sprint 4.</t>
  </si>
  <si>
    <t>RF-18 Autenticar usuarios administrativos mediante credenciales registradas</t>
  </si>
  <si>
    <t>RF-18 – Sprint 3 implementa autenticación real con CustomUserDetailsService y PostgreSQL.</t>
  </si>
  <si>
    <t>RF-19 Restringir acceso por roles y mostrar acceso denegado cuando corresponda</t>
  </si>
  <si>
    <t>RF-19 – SecurityFilterChain restringe acceso por rol y existe página de acceso denegado.</t>
  </si>
  <si>
    <t>RF-20 Visualizar estación, zona turística y ruta de ida/vuelta en mapa interactivo</t>
  </si>
  <si>
    <t>RF-20 – Leaflet.js visualiza estación de origen, zona destino y ruta ida/vuelta en mapa interactivo.</t>
  </si>
  <si>
    <t>27 de Agosto del 2026</t>
  </si>
  <si>
    <t>29 de Agosto del 2026</t>
  </si>
  <si>
    <t>9 de Setiembre del 2026</t>
  </si>
  <si>
    <t>10 de Setiembre del 2026</t>
  </si>
  <si>
    <t>8 de Setiembre del  2026</t>
  </si>
  <si>
    <t>RF-18: Autenticar usuarios administrativos mediante credenciales registradas</t>
  </si>
  <si>
    <t>RF-19: Restringir acceso por roles y mostrar acceso denegado cuando corresponda</t>
  </si>
  <si>
    <t>RF-20: Visualizar estación, zona turística y ruta de ida/vuelta en mapa interactivo</t>
  </si>
  <si>
    <t>RF18</t>
  </si>
  <si>
    <t>RF19</t>
  </si>
  <si>
    <t>RF20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</si>
</sst>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FFFF"/>
      <name val="Calibri"/>
      <family val="2"/>
    </font>
    <font>
      <sz val="11"/>
      <color rgb="FFFF0000"/>
      <name val="Calibri"/>
      <family val="2"/>
    </font>
    <font>
      <sz val="11"/>
      <color theme="1"/>
      <name val="Calibri"/>
      <family val="2"/>
    </font>
    <font>
      <i/>
      <sz val="11"/>
      <color rgb="FFFFFFFF"/>
      <name val="Calibri"/>
      <family val="2"/>
    </font>
    <font>
      <b/>
      <sz val="11"/>
      <color theme="1"/>
      <name val="Arial"/>
      <family val="2"/>
    </font>
    <font>
      <b/>
      <sz val="10"/>
      <color theme="0"/>
      <name val="Arial"/>
      <family val="2"/>
    </font>
    <font>
      <b/>
      <sz val="11"/>
      <color theme="0"/>
      <name val="Arial"/>
      <family val="2"/>
    </font>
    <font>
      <sz val="11"/>
      <color theme="1"/>
      <name val="Arial"/>
      <family val="2"/>
    </font>
    <font>
      <b/>
      <i/>
      <sz val="11"/>
      <color theme="1"/>
      <name val="Calibri"/>
      <family val="2"/>
    </font>
    <font>
      <b/>
      <sz val="11"/>
      <color theme="1"/>
      <name val="Calibri"/>
      <family val="2"/>
    </font>
    <font>
      <b/>
      <sz val="11"/>
      <color rgb="FFFF0000"/>
      <name val="Calibri"/>
      <family val="2"/>
    </font>
    <font>
      <sz val="11"/>
      <color rgb="FF1F497D"/>
      <name val="Calibri"/>
      <family val="2"/>
    </font>
    <font>
      <sz val="11"/>
      <color theme="1"/>
      <name val="Symbol"/>
      <family val="1"/>
      <charset val="2"/>
    </font>
    <font>
      <sz val="7"/>
      <color theme="1"/>
      <name val="Times New Roman"/>
      <family val="1"/>
    </font>
    <font>
      <b/>
      <sz val="11"/>
      <name val="Calibri"/>
      <family val="2"/>
    </font>
    <font>
      <i/>
      <sz val="11"/>
      <name val="Calibri"/>
      <family val="2"/>
    </font>
    <font>
      <sz val="11"/>
      <name val="Arial"/>
      <family val="2"/>
    </font>
    <font>
      <i/>
      <sz val="11"/>
      <color rgb="FFFF0000"/>
      <name val="Calibri"/>
      <family val="2"/>
    </font>
    <font>
      <b/>
      <i/>
      <sz val="11"/>
      <color rgb="FFFF0000"/>
      <name val="Calibri"/>
      <family val="2"/>
    </font>
    <font>
      <sz val="11"/>
      <name val="Calibri"/>
      <family val="2"/>
    </font>
    <font>
      <i/>
      <sz val="11"/>
      <color theme="1"/>
      <name val="Calibri"/>
      <family val="2"/>
    </font>
    <font>
      <sz val="11"/>
      <color rgb="FF1F1F1F"/>
      <name val="Arial"/>
      <family val="2"/>
    </font>
    <font>
      <b/>
      <sz val="11"/>
      <color rgb="FF1F1F1F"/>
      <name val="Arial"/>
      <family val="2"/>
    </font>
    <font>
      <b/>
      <sz val="13.5"/>
      <color theme="1"/>
      <name val="Arial"/>
      <family val="2"/>
    </font>
    <font>
      <b/>
      <sz val="14"/>
      <color theme="1"/>
      <name val="Arial"/>
      <family val="2"/>
    </font>
    <font>
      <b/>
      <i/>
      <sz val="16"/>
      <color theme="1"/>
      <name val="Calibri"/>
      <family val="2"/>
    </font>
    <font>
      <b/>
      <i/>
      <sz val="11"/>
      <name val="Calibri"/>
      <family val="2"/>
    </font>
    <font>
      <b/>
      <sz val="11"/>
      <name val="Arial"/>
      <family val="2"/>
    </font>
    <font>
      <sz val="11"/>
      <name val="Calibri"/>
      <family val="2"/>
      <scheme val="minor"/>
    </font>
  </fonts>
  <fills count="29">
    <fill>
      <patternFill patternType="none"/>
    </fill>
    <fill>
      <patternFill patternType="gray125"/>
    </fill>
    <fill>
      <patternFill patternType="solid">
        <fgColor theme="3" tint="0.79998168889431442"/>
        <bgColor indexed="64"/>
      </patternFill>
    </fill>
    <fill>
      <patternFill patternType="solid">
        <fgColor theme="9" tint="0.39997558519241921"/>
        <bgColor indexed="64"/>
      </patternFill>
    </fill>
    <fill>
      <patternFill patternType="solid">
        <fgColor rgb="FF606060"/>
        <bgColor indexed="64"/>
      </patternFill>
    </fill>
    <fill>
      <patternFill patternType="solid">
        <fgColor theme="3"/>
        <bgColor indexed="64"/>
      </patternFill>
    </fill>
    <fill>
      <patternFill patternType="solid">
        <fgColor theme="2"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rgb="FFA6A6A6"/>
        <bgColor indexed="64"/>
      </patternFill>
    </fill>
    <fill>
      <patternFill patternType="solid">
        <fgColor rgb="FFE0E0E0"/>
        <bgColor indexed="64"/>
      </patternFill>
    </fill>
    <fill>
      <patternFill patternType="solid">
        <fgColor theme="4"/>
        <bgColor indexed="64"/>
      </patternFill>
    </fill>
    <fill>
      <patternFill patternType="solid">
        <fgColor theme="4"/>
      </patternFill>
    </fill>
    <fill>
      <patternFill patternType="solid">
        <fgColor theme="5"/>
      </patternFill>
    </fill>
    <fill>
      <patternFill patternType="solid">
        <fgColor theme="7"/>
      </patternFill>
    </fill>
    <fill>
      <patternFill patternType="solid">
        <fgColor theme="9"/>
      </patternFill>
    </fill>
    <fill>
      <patternFill patternType="solid">
        <fgColor theme="9" tint="0.39997558519241921"/>
        <bgColor indexed="65"/>
      </patternFill>
    </fill>
    <fill>
      <patternFill patternType="solid">
        <fgColor rgb="FFD3DFEE"/>
      </patternFill>
    </fill>
    <fill>
      <patternFill patternType="solid">
        <fgColor rgb="FFA7BFDE"/>
      </patternFill>
    </fill>
    <fill>
      <patternFill patternType="solid">
        <fgColor theme="3" tint="0.79995117038483843"/>
        <bgColor indexed="65"/>
      </patternFill>
    </fill>
    <fill>
      <patternFill patternType="solid">
        <fgColor theme="7" tint="0.59996337778862885"/>
        <bgColor indexed="65"/>
      </patternFill>
    </fill>
    <fill>
      <patternFill patternType="solid">
        <fgColor theme="8" tint="0.59996337778862885"/>
        <bgColor indexed="65"/>
      </patternFill>
    </fill>
    <fill>
      <patternFill patternType="solid">
        <fgColor theme="4" tint="0.79995117038483843"/>
        <bgColor indexed="65"/>
      </patternFill>
    </fill>
    <fill>
      <patternFill patternType="solid">
        <fgColor theme="5" tint="0.59996337778862885"/>
        <bgColor indexed="65"/>
      </patternFill>
    </fill>
    <fill>
      <patternFill patternType="solid">
        <fgColor theme="3"/>
      </patternFill>
    </fill>
    <fill>
      <patternFill patternType="solid">
        <fgColor theme="2" tint="-0.249977111117893"/>
        <bgColor indexed="65"/>
      </patternFill>
    </fill>
    <fill>
      <patternFill patternType="solid">
        <fgColor theme="7" tint="0.79995117038483843"/>
        <bgColor indexed="65"/>
      </patternFill>
    </fill>
    <fill>
      <patternFill patternType="solid">
        <fgColor theme="0"/>
      </patternFill>
    </fill>
    <fill>
      <patternFill patternType="solid">
        <fgColor theme="7" tint="0.59999389629810485"/>
        <bgColor indexed="64"/>
      </patternFill>
    </fill>
  </fills>
  <borders count="5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24">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0" fillId="0" borderId="23" xfId="0" applyBorder="1"/>
    <xf numFmtId="0" fontId="9" fillId="5" borderId="23" xfId="0" applyFont="1" applyFill="1" applyBorder="1" applyAlignment="1">
      <alignment vertical="center" wrapText="1"/>
    </xf>
    <xf numFmtId="0" fontId="0" fillId="0" borderId="23" xfId="0" applyBorder="1" applyAlignment="1">
      <alignment wrapText="1"/>
    </xf>
    <xf numFmtId="0" fontId="0" fillId="0" borderId="23" xfId="0" applyBorder="1" applyAlignment="1">
      <alignment horizontal="center"/>
    </xf>
    <xf numFmtId="0" fontId="0" fillId="8" borderId="23" xfId="0" applyFill="1" applyBorder="1" applyAlignment="1">
      <alignment horizontal="center"/>
    </xf>
    <xf numFmtId="0" fontId="0" fillId="3" borderId="23" xfId="0" applyFill="1" applyBorder="1" applyAlignment="1">
      <alignment horizontal="center"/>
    </xf>
    <xf numFmtId="0" fontId="0" fillId="0" borderId="23" xfId="0" applyBorder="1" applyAlignment="1">
      <alignment vertical="center" wrapText="1"/>
    </xf>
    <xf numFmtId="0" fontId="11" fillId="9" borderId="3" xfId="0" applyFont="1" applyFill="1" applyBorder="1" applyAlignment="1">
      <alignment horizontal="center" vertical="center" wrapText="1"/>
    </xf>
    <xf numFmtId="0" fontId="11" fillId="9" borderId="4" xfId="0" applyFont="1" applyFill="1" applyBorder="1" applyAlignment="1">
      <alignment horizontal="center" vertical="center" wrapText="1"/>
    </xf>
    <xf numFmtId="0" fontId="11" fillId="10" borderId="3" xfId="0" applyFont="1" applyFill="1" applyBorder="1" applyAlignment="1">
      <alignment horizontal="justify" vertical="center" wrapText="1"/>
    </xf>
    <xf numFmtId="0" fontId="5" fillId="0" borderId="4" xfId="0" applyFont="1" applyBorder="1" applyAlignment="1">
      <alignment horizontal="justify" vertical="center" wrapText="1"/>
    </xf>
    <xf numFmtId="0" fontId="0" fillId="0" borderId="4" xfId="0" applyBorder="1" applyAlignment="1">
      <alignment horizontal="justify" vertical="center" wrapText="1"/>
    </xf>
    <xf numFmtId="0" fontId="11" fillId="10" borderId="3" xfId="0" applyFont="1" applyFill="1" applyBorder="1" applyAlignment="1">
      <alignment horizontal="center" vertical="center" wrapText="1"/>
    </xf>
    <xf numFmtId="0" fontId="11" fillId="10" borderId="4" xfId="0" applyFont="1" applyFill="1" applyBorder="1" applyAlignment="1">
      <alignment horizontal="center" vertical="center" wrapText="1"/>
    </xf>
    <xf numFmtId="0" fontId="0" fillId="0" borderId="26" xfId="0" applyBorder="1" applyAlignment="1">
      <alignment vertical="center" wrapText="1"/>
    </xf>
    <xf numFmtId="0" fontId="5" fillId="0" borderId="26" xfId="0" applyFont="1" applyBorder="1" applyAlignment="1">
      <alignment horizontal="justify" vertical="center" wrapText="1"/>
    </xf>
    <xf numFmtId="0" fontId="0" fillId="0" borderId="26" xfId="0" applyBorder="1" applyAlignment="1">
      <alignment vertical="top" wrapText="1"/>
    </xf>
    <xf numFmtId="0" fontId="0" fillId="0" borderId="3" xfId="0" applyBorder="1" applyAlignment="1">
      <alignment vertical="top" wrapText="1"/>
    </xf>
    <xf numFmtId="0" fontId="4" fillId="0" borderId="15" xfId="0" applyFont="1" applyBorder="1" applyAlignment="1">
      <alignment horizontal="justify" vertical="center" wrapText="1"/>
    </xf>
    <xf numFmtId="0" fontId="0" fillId="0" borderId="15" xfId="0" applyBorder="1"/>
    <xf numFmtId="0" fontId="12" fillId="0" borderId="3" xfId="0" applyFont="1" applyBorder="1" applyAlignment="1">
      <alignment vertical="center" wrapText="1"/>
    </xf>
    <xf numFmtId="0" fontId="0" fillId="2" borderId="23" xfId="0" applyFill="1" applyBorder="1" applyAlignment="1">
      <alignment wrapText="1"/>
    </xf>
    <xf numFmtId="0" fontId="0" fillId="0" borderId="0" xfId="0" applyAlignment="1">
      <alignment horizontal="center"/>
    </xf>
    <xf numFmtId="0" fontId="20" fillId="0" borderId="4" xfId="0" applyFont="1" applyBorder="1" applyAlignment="1">
      <alignment horizontal="justify" vertical="center" wrapText="1"/>
    </xf>
    <xf numFmtId="0" fontId="22" fillId="6" borderId="23" xfId="0" applyFont="1" applyFill="1" applyBorder="1" applyAlignment="1">
      <alignment vertical="center"/>
    </xf>
    <xf numFmtId="0" fontId="0" fillId="6" borderId="8" xfId="0" applyFill="1" applyBorder="1" applyAlignment="1">
      <alignment horizontal="center" vertical="center"/>
    </xf>
    <xf numFmtId="0" fontId="23" fillId="6" borderId="9" xfId="0" applyFont="1" applyFill="1" applyBorder="1" applyAlignment="1">
      <alignment vertical="center" wrapText="1"/>
    </xf>
    <xf numFmtId="0" fontId="11" fillId="10" borderId="8" xfId="0" applyFont="1" applyFill="1" applyBorder="1" applyAlignment="1">
      <alignment vertical="center" wrapText="1"/>
    </xf>
    <xf numFmtId="0" fontId="11" fillId="10" borderId="10" xfId="0" applyFont="1" applyFill="1" applyBorder="1" applyAlignment="1">
      <alignment vertical="center" wrapText="1"/>
    </xf>
    <xf numFmtId="0" fontId="11" fillId="7" borderId="0" xfId="0" applyFont="1" applyFill="1" applyAlignment="1">
      <alignment vertical="center" wrapText="1"/>
    </xf>
    <xf numFmtId="0" fontId="5" fillId="7" borderId="0" xfId="0" applyFont="1" applyFill="1" applyAlignment="1">
      <alignment vertical="center" wrapText="1"/>
    </xf>
    <xf numFmtId="0" fontId="14" fillId="7" borderId="0" xfId="0" applyFont="1" applyFill="1" applyAlignment="1">
      <alignment vertical="center" wrapText="1"/>
    </xf>
    <xf numFmtId="0" fontId="0" fillId="7" borderId="0" xfId="0" applyFill="1"/>
    <xf numFmtId="0" fontId="25" fillId="0" borderId="30" xfId="0" applyFont="1" applyBorder="1" applyAlignment="1">
      <alignment horizontal="left" vertical="center" wrapText="1" indent="1" readingOrder="1"/>
    </xf>
    <xf numFmtId="0" fontId="24" fillId="0" borderId="30" xfId="0" applyFont="1" applyBorder="1" applyAlignment="1">
      <alignment horizontal="left" vertical="center" wrapText="1" indent="1" readingOrder="1"/>
    </xf>
    <xf numFmtId="0" fontId="0" fillId="0" borderId="0" xfId="0" applyAlignment="1">
      <alignment vertical="center" wrapText="1"/>
    </xf>
    <xf numFmtId="0" fontId="25" fillId="0" borderId="31" xfId="0" applyFont="1" applyBorder="1" applyAlignment="1">
      <alignment horizontal="left" vertical="center" wrapText="1" indent="1" readingOrder="1"/>
    </xf>
    <xf numFmtId="0" fontId="10" fillId="0" borderId="0" xfId="0" applyFont="1"/>
    <xf numFmtId="0" fontId="25" fillId="0" borderId="32" xfId="0" applyFont="1" applyBorder="1" applyAlignment="1">
      <alignment horizontal="left" vertical="center" wrapText="1" indent="1" readingOrder="1"/>
    </xf>
    <xf numFmtId="0" fontId="24" fillId="0" borderId="33" xfId="0" applyFont="1" applyBorder="1" applyAlignment="1">
      <alignment horizontal="left" vertical="center" wrapText="1" indent="1" readingOrder="1"/>
    </xf>
    <xf numFmtId="0" fontId="26" fillId="0" borderId="0" xfId="0" applyFont="1" applyAlignment="1">
      <alignment vertical="center"/>
    </xf>
    <xf numFmtId="0" fontId="7" fillId="11" borderId="26" xfId="0" applyFont="1" applyFill="1" applyBorder="1" applyAlignment="1">
      <alignment vertical="center"/>
    </xf>
    <xf numFmtId="0" fontId="10" fillId="11" borderId="1" xfId="0" applyFont="1" applyFill="1" applyBorder="1" applyAlignment="1">
      <alignment vertical="center" wrapText="1"/>
    </xf>
    <xf numFmtId="0" fontId="10" fillId="11" borderId="1" xfId="0" applyFont="1" applyFill="1" applyBorder="1" applyAlignment="1">
      <alignment wrapText="1"/>
    </xf>
    <xf numFmtId="0" fontId="0" fillId="0" borderId="1" xfId="0" applyBorder="1" applyAlignment="1">
      <alignment wrapText="1"/>
    </xf>
    <xf numFmtId="0" fontId="5" fillId="0" borderId="23" xfId="0" applyFont="1" applyBorder="1" applyAlignment="1">
      <alignment vertical="center" wrapText="1"/>
    </xf>
    <xf numFmtId="0" fontId="5" fillId="0" borderId="29" xfId="0" applyFont="1" applyBorder="1" applyAlignment="1">
      <alignment vertical="center" wrapText="1"/>
    </xf>
    <xf numFmtId="0" fontId="5" fillId="0" borderId="37" xfId="0" applyFont="1" applyBorder="1" applyAlignment="1">
      <alignment vertical="center" wrapText="1"/>
    </xf>
    <xf numFmtId="0" fontId="22" fillId="0" borderId="9" xfId="0" applyFont="1" applyBorder="1" applyAlignment="1">
      <alignment vertical="center" wrapText="1"/>
    </xf>
    <xf numFmtId="0" fontId="22" fillId="0" borderId="9" xfId="0" applyFont="1" applyBorder="1" applyAlignment="1">
      <alignment horizontal="left" vertical="center" wrapText="1"/>
    </xf>
    <xf numFmtId="0" fontId="22" fillId="0" borderId="11" xfId="0" applyFont="1" applyBorder="1" applyAlignment="1">
      <alignment vertical="center" wrapText="1"/>
    </xf>
    <xf numFmtId="0" fontId="12" fillId="0" borderId="15" xfId="0" applyFont="1" applyBorder="1" applyAlignment="1">
      <alignment horizontal="justify" vertical="center" wrapText="1"/>
    </xf>
    <xf numFmtId="0" fontId="5" fillId="0" borderId="15" xfId="0" applyFont="1" applyBorder="1" applyAlignment="1">
      <alignment horizontal="justify" vertical="center" wrapText="1"/>
    </xf>
    <xf numFmtId="0" fontId="22" fillId="0" borderId="4" xfId="0" applyFont="1" applyBorder="1" applyAlignment="1">
      <alignment horizontal="justify" vertical="center" wrapText="1"/>
    </xf>
    <xf numFmtId="0" fontId="22" fillId="0" borderId="3" xfId="0" applyFont="1" applyBorder="1" applyAlignment="1">
      <alignment vertical="center" wrapText="1"/>
    </xf>
    <xf numFmtId="0" fontId="22" fillId="0" borderId="4" xfId="0" applyFont="1" applyBorder="1" applyAlignment="1">
      <alignment vertical="center" wrapText="1"/>
    </xf>
    <xf numFmtId="0" fontId="0" fillId="0" borderId="0" xfId="0" applyAlignment="1">
      <alignment wrapText="1"/>
    </xf>
    <xf numFmtId="0" fontId="29" fillId="0" borderId="1" xfId="0" applyFont="1" applyBorder="1" applyAlignment="1">
      <alignment horizontal="center" vertical="center" wrapText="1"/>
    </xf>
    <xf numFmtId="0" fontId="29" fillId="19" borderId="2" xfId="0" applyFont="1" applyFill="1" applyBorder="1" applyAlignment="1">
      <alignment horizontal="center" vertical="center" wrapText="1"/>
    </xf>
    <xf numFmtId="0" fontId="29" fillId="20" borderId="2" xfId="0" applyFont="1" applyFill="1" applyBorder="1" applyAlignment="1">
      <alignment horizontal="center" vertical="center" wrapText="1"/>
    </xf>
    <xf numFmtId="0" fontId="29" fillId="21" borderId="2" xfId="0" applyFont="1" applyFill="1" applyBorder="1" applyAlignment="1">
      <alignment horizontal="center" vertical="center" wrapText="1"/>
    </xf>
    <xf numFmtId="0" fontId="29" fillId="16" borderId="2" xfId="0" applyFont="1" applyFill="1" applyBorder="1" applyAlignment="1">
      <alignment horizontal="center" vertical="center" wrapText="1"/>
    </xf>
    <xf numFmtId="0" fontId="22" fillId="0" borderId="3" xfId="0" applyFont="1" applyBorder="1" applyAlignment="1">
      <alignment horizontal="center" vertical="center" wrapText="1"/>
    </xf>
    <xf numFmtId="0" fontId="22" fillId="19" borderId="4" xfId="0" applyFont="1" applyFill="1" applyBorder="1" applyAlignment="1">
      <alignment horizontal="justify" vertical="center" wrapText="1"/>
    </xf>
    <xf numFmtId="0" fontId="22" fillId="20" borderId="4" xfId="0" applyFont="1" applyFill="1" applyBorder="1" applyAlignment="1">
      <alignment horizontal="justify" vertical="center" wrapText="1"/>
    </xf>
    <xf numFmtId="0" fontId="22" fillId="21" borderId="4" xfId="0" applyFont="1" applyFill="1" applyBorder="1" applyAlignment="1">
      <alignment horizontal="justify" vertical="center" wrapText="1"/>
    </xf>
    <xf numFmtId="0" fontId="22" fillId="16" borderId="4" xfId="0" applyFont="1" applyFill="1" applyBorder="1" applyAlignment="1">
      <alignment horizontal="justify" vertical="center" wrapText="1"/>
    </xf>
    <xf numFmtId="0" fontId="17" fillId="0" borderId="3" xfId="0" applyFont="1" applyBorder="1" applyAlignment="1">
      <alignment horizontal="justify" vertical="center" wrapText="1"/>
    </xf>
    <xf numFmtId="0" fontId="11" fillId="13" borderId="4" xfId="0" applyFont="1" applyFill="1" applyBorder="1" applyAlignment="1">
      <alignment horizontal="center" vertical="center" wrapText="1"/>
    </xf>
    <xf numFmtId="0" fontId="4" fillId="0" borderId="0" xfId="0" applyFont="1" applyAlignment="1">
      <alignment horizontal="justify" vertical="center" wrapText="1"/>
    </xf>
    <xf numFmtId="0" fontId="4" fillId="0" borderId="0" xfId="0" applyFont="1" applyAlignment="1">
      <alignment horizontal="center" vertical="center" wrapText="1"/>
    </xf>
    <xf numFmtId="0" fontId="0" fillId="12" borderId="23" xfId="0" applyFill="1" applyBorder="1" applyAlignment="1">
      <alignment horizontal="center" wrapText="1"/>
    </xf>
    <xf numFmtId="0" fontId="0" fillId="22" borderId="23" xfId="0" applyFill="1" applyBorder="1" applyAlignment="1">
      <alignment horizontal="center" wrapText="1"/>
    </xf>
    <xf numFmtId="10" fontId="0" fillId="23" borderId="23" xfId="0" applyNumberFormat="1" applyFill="1" applyBorder="1" applyAlignment="1">
      <alignment horizontal="center" wrapText="1"/>
    </xf>
    <xf numFmtId="0" fontId="8" fillId="24" borderId="23" xfId="0" applyFont="1" applyFill="1" applyBorder="1" applyAlignment="1">
      <alignment horizontal="center" vertical="center" wrapText="1"/>
    </xf>
    <xf numFmtId="0" fontId="9" fillId="24" borderId="23" xfId="0" applyFont="1" applyFill="1" applyBorder="1" applyAlignment="1">
      <alignment vertical="center" wrapText="1"/>
    </xf>
    <xf numFmtId="0" fontId="10" fillId="25" borderId="23" xfId="0" applyFont="1" applyFill="1" applyBorder="1" applyAlignment="1">
      <alignment horizontal="center" vertical="center" wrapText="1"/>
    </xf>
    <xf numFmtId="0" fontId="10" fillId="12" borderId="23" xfId="0" applyFont="1" applyFill="1" applyBorder="1" applyAlignment="1">
      <alignment horizontal="center" vertical="center" wrapText="1"/>
    </xf>
    <xf numFmtId="0" fontId="10" fillId="13" borderId="23" xfId="0" applyFont="1" applyFill="1" applyBorder="1" applyAlignment="1">
      <alignment horizontal="center" vertical="center" wrapText="1"/>
    </xf>
    <xf numFmtId="0" fontId="10" fillId="26" borderId="23" xfId="0" applyFont="1" applyFill="1" applyBorder="1" applyAlignment="1">
      <alignment horizontal="center" vertical="center" wrapText="1"/>
    </xf>
    <xf numFmtId="0" fontId="10" fillId="15" borderId="23" xfId="0" applyFont="1" applyFill="1" applyBorder="1" applyAlignment="1">
      <alignment horizontal="center" vertical="center" wrapText="1"/>
    </xf>
    <xf numFmtId="0" fontId="10" fillId="19" borderId="23" xfId="0" applyFont="1" applyFill="1" applyBorder="1" applyAlignment="1">
      <alignment horizontal="center" vertical="center" wrapText="1"/>
    </xf>
    <xf numFmtId="0" fontId="10" fillId="14" borderId="23" xfId="0" applyFont="1" applyFill="1" applyBorder="1" applyAlignment="1">
      <alignment horizontal="center" vertical="center" wrapText="1"/>
    </xf>
    <xf numFmtId="2" fontId="10" fillId="0" borderId="23" xfId="0" applyNumberFormat="1" applyFont="1" applyBorder="1" applyAlignment="1">
      <alignment horizontal="center" vertical="center" wrapText="1"/>
    </xf>
    <xf numFmtId="0" fontId="10" fillId="0" borderId="23" xfId="0" applyFont="1" applyBorder="1" applyAlignment="1">
      <alignment horizontal="center" vertical="center" wrapText="1"/>
    </xf>
    <xf numFmtId="0" fontId="10" fillId="27" borderId="23" xfId="0" applyFont="1" applyFill="1" applyBorder="1" applyAlignment="1">
      <alignment horizontal="center" vertical="center" wrapText="1"/>
    </xf>
    <xf numFmtId="0" fontId="19" fillId="0" borderId="23" xfId="0" applyFont="1" applyBorder="1" applyAlignment="1">
      <alignment horizontal="center" vertical="center" wrapText="1"/>
    </xf>
    <xf numFmtId="0" fontId="19" fillId="14" borderId="23" xfId="0" applyFont="1" applyFill="1" applyBorder="1" applyAlignment="1">
      <alignment horizontal="center" vertical="center" wrapText="1"/>
    </xf>
    <xf numFmtId="0" fontId="10" fillId="0" borderId="55" xfId="0" applyFont="1" applyBorder="1" applyAlignment="1">
      <alignment horizontal="center" vertical="center" wrapText="1"/>
    </xf>
    <xf numFmtId="0" fontId="10" fillId="6" borderId="23" xfId="0" applyFont="1" applyFill="1" applyBorder="1" applyAlignment="1">
      <alignment horizontal="center" vertical="center" wrapText="1"/>
    </xf>
    <xf numFmtId="0" fontId="10" fillId="0" borderId="0" xfId="0" applyFont="1" applyAlignment="1">
      <alignment vertical="center" wrapText="1"/>
    </xf>
    <xf numFmtId="0" fontId="10" fillId="0" borderId="23" xfId="0" applyFont="1" applyBorder="1" applyAlignment="1">
      <alignment vertical="center" wrapText="1"/>
    </xf>
    <xf numFmtId="10" fontId="10" fillId="0" borderId="23" xfId="0" applyNumberFormat="1" applyFont="1" applyBorder="1" applyAlignment="1">
      <alignment horizontal="center" vertical="center" wrapText="1"/>
    </xf>
    <xf numFmtId="0" fontId="10" fillId="0" borderId="54" xfId="0" applyFont="1" applyBorder="1" applyAlignment="1">
      <alignment horizontal="center" vertical="center" wrapText="1"/>
    </xf>
    <xf numFmtId="0" fontId="9" fillId="24" borderId="23" xfId="0" applyFont="1" applyFill="1" applyBorder="1" applyAlignment="1">
      <alignment horizontal="left" vertical="center" wrapText="1"/>
    </xf>
    <xf numFmtId="0" fontId="30" fillId="0" borderId="23" xfId="0" applyFont="1" applyBorder="1" applyAlignment="1">
      <alignment horizontal="center" vertical="center" wrapText="1"/>
    </xf>
    <xf numFmtId="0" fontId="10" fillId="0" borderId="0" xfId="0" applyFont="1" applyAlignment="1">
      <alignment horizontal="center" vertical="center" wrapText="1"/>
    </xf>
    <xf numFmtId="10" fontId="10" fillId="0" borderId="0" xfId="0" applyNumberFormat="1" applyFont="1" applyAlignment="1">
      <alignment horizontal="center" vertical="center" wrapText="1"/>
    </xf>
    <xf numFmtId="0" fontId="9" fillId="24" borderId="24" xfId="0" applyFont="1" applyFill="1" applyBorder="1" applyAlignment="1">
      <alignment horizontal="center" vertical="center" wrapText="1"/>
    </xf>
    <xf numFmtId="0" fontId="9" fillId="24" borderId="51" xfId="0" applyFont="1" applyFill="1" applyBorder="1" applyAlignment="1">
      <alignment horizontal="center" vertical="center" wrapText="1"/>
    </xf>
    <xf numFmtId="0" fontId="9" fillId="24" borderId="52" xfId="0" applyFont="1" applyFill="1" applyBorder="1" applyAlignment="1">
      <alignment horizontal="center" vertical="center" wrapText="1"/>
    </xf>
    <xf numFmtId="0" fontId="10" fillId="0" borderId="53" xfId="0" applyFont="1" applyBorder="1" applyAlignment="1">
      <alignment horizontal="center" vertical="center" wrapText="1"/>
    </xf>
    <xf numFmtId="0" fontId="10" fillId="0" borderId="54"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48" xfId="0" applyFont="1" applyBorder="1" applyAlignment="1">
      <alignment horizontal="center" vertical="center" wrapText="1"/>
    </xf>
    <xf numFmtId="0" fontId="10" fillId="0" borderId="49" xfId="0" applyFont="1" applyBorder="1" applyAlignment="1">
      <alignment horizontal="center" vertical="center" wrapText="1"/>
    </xf>
    <xf numFmtId="0" fontId="10" fillId="0" borderId="50" xfId="0" applyFont="1" applyBorder="1" applyAlignment="1">
      <alignment horizontal="center" vertical="center" wrapText="1"/>
    </xf>
    <xf numFmtId="0" fontId="10" fillId="0" borderId="51" xfId="0" applyFont="1" applyBorder="1" applyAlignment="1">
      <alignment horizontal="center" vertical="center" wrapText="1"/>
    </xf>
    <xf numFmtId="0" fontId="10" fillId="0" borderId="52"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1" xfId="0" applyFont="1" applyBorder="1" applyAlignment="1">
      <alignment horizontal="center" vertical="center" wrapText="1"/>
    </xf>
    <xf numFmtId="0" fontId="9" fillId="24" borderId="23" xfId="0" applyFont="1" applyFill="1" applyBorder="1" applyAlignment="1">
      <alignment horizontal="center" vertical="center" wrapText="1"/>
    </xf>
    <xf numFmtId="0" fontId="7" fillId="0" borderId="23" xfId="0" applyFont="1" applyBorder="1" applyAlignment="1">
      <alignment horizontal="center" vertical="center" wrapText="1"/>
    </xf>
    <xf numFmtId="0" fontId="9" fillId="24" borderId="20" xfId="0" applyFont="1" applyFill="1" applyBorder="1" applyAlignment="1">
      <alignment horizontal="center" vertical="center" wrapText="1"/>
    </xf>
    <xf numFmtId="0" fontId="10" fillId="0" borderId="23" xfId="0" applyFont="1" applyBorder="1" applyAlignment="1">
      <alignment horizontal="center" vertical="center" wrapText="1"/>
    </xf>
    <xf numFmtId="0" fontId="12" fillId="17" borderId="6" xfId="0" applyFont="1" applyFill="1" applyBorder="1" applyAlignment="1">
      <alignment horizontal="left" vertical="center" wrapText="1"/>
    </xf>
    <xf numFmtId="0" fontId="12" fillId="17" borderId="7" xfId="0" applyFont="1" applyFill="1" applyBorder="1" applyAlignment="1">
      <alignment horizontal="left" vertical="center" wrapText="1"/>
    </xf>
    <xf numFmtId="0" fontId="12" fillId="17" borderId="19" xfId="0" applyFont="1" applyFill="1" applyBorder="1" applyAlignment="1">
      <alignment horizontal="left" vertical="center" wrapText="1"/>
    </xf>
    <xf numFmtId="0" fontId="12" fillId="17" borderId="8" xfId="0" applyFont="1" applyFill="1" applyBorder="1" applyAlignment="1">
      <alignment horizontal="left" vertical="center" wrapText="1"/>
    </xf>
    <xf numFmtId="0" fontId="12" fillId="17" borderId="9" xfId="0" applyFont="1" applyFill="1" applyBorder="1" applyAlignment="1">
      <alignment horizontal="left" vertical="center" wrapText="1"/>
    </xf>
    <xf numFmtId="0" fontId="12" fillId="17" borderId="20" xfId="0" applyFont="1" applyFill="1" applyBorder="1" applyAlignment="1">
      <alignment horizontal="left" vertical="center" wrapText="1"/>
    </xf>
    <xf numFmtId="0" fontId="12" fillId="17" borderId="12" xfId="0" applyFont="1" applyFill="1" applyBorder="1" applyAlignment="1">
      <alignment horizontal="left" vertical="center" wrapText="1"/>
    </xf>
    <xf numFmtId="0" fontId="12" fillId="18" borderId="8" xfId="0" applyFont="1" applyFill="1" applyBorder="1" applyAlignment="1">
      <alignment horizontal="left" vertical="center" wrapText="1"/>
    </xf>
    <xf numFmtId="0" fontId="12" fillId="18" borderId="9" xfId="0" applyFont="1" applyFill="1" applyBorder="1" applyAlignment="1">
      <alignment horizontal="left" vertical="center" wrapText="1"/>
    </xf>
    <xf numFmtId="0" fontId="22" fillId="18" borderId="21" xfId="0" applyFont="1" applyFill="1" applyBorder="1" applyAlignment="1">
      <alignment horizontal="left" vertical="center" wrapText="1"/>
    </xf>
    <xf numFmtId="0" fontId="22" fillId="18" borderId="9" xfId="0" applyFont="1" applyFill="1" applyBorder="1" applyAlignment="1">
      <alignment horizontal="left" vertical="center" wrapText="1"/>
    </xf>
    <xf numFmtId="0" fontId="0" fillId="17" borderId="21" xfId="0" applyFill="1" applyBorder="1" applyAlignment="1">
      <alignment horizontal="left" vertical="center" wrapText="1"/>
    </xf>
    <xf numFmtId="0" fontId="0" fillId="17" borderId="9" xfId="0" applyFill="1" applyBorder="1" applyAlignment="1">
      <alignment horizontal="left" vertical="center" wrapText="1"/>
    </xf>
    <xf numFmtId="0" fontId="12" fillId="18" borderId="10" xfId="0" applyFont="1" applyFill="1" applyBorder="1" applyAlignment="1">
      <alignment horizontal="left" vertical="center" wrapText="1"/>
    </xf>
    <xf numFmtId="0" fontId="12" fillId="18" borderId="11" xfId="0" applyFont="1" applyFill="1" applyBorder="1" applyAlignment="1">
      <alignment horizontal="left" vertical="center" wrapText="1"/>
    </xf>
    <xf numFmtId="0" fontId="0" fillId="18" borderId="22" xfId="0" applyFill="1" applyBorder="1" applyAlignment="1">
      <alignment horizontal="left" vertical="center" wrapText="1"/>
    </xf>
    <xf numFmtId="0" fontId="0" fillId="18" borderId="11" xfId="0" applyFill="1" applyBorder="1" applyAlignment="1">
      <alignment horizontal="left" vertical="center" wrapText="1"/>
    </xf>
    <xf numFmtId="0" fontId="9" fillId="24" borderId="21" xfId="0" applyFont="1" applyFill="1" applyBorder="1" applyAlignment="1">
      <alignment horizontal="center" vertical="center" wrapText="1"/>
    </xf>
    <xf numFmtId="0" fontId="15" fillId="0" borderId="8" xfId="0" applyFont="1" applyBorder="1" applyAlignment="1">
      <alignment horizontal="left" vertical="center" wrapText="1"/>
    </xf>
    <xf numFmtId="0" fontId="15" fillId="0" borderId="9" xfId="0" applyFont="1" applyBorder="1" applyAlignment="1">
      <alignment horizontal="left" vertical="center" wrapText="1"/>
    </xf>
    <xf numFmtId="0" fontId="15" fillId="0" borderId="10" xfId="0" applyFont="1" applyBorder="1" applyAlignment="1">
      <alignment horizontal="left" vertical="center" wrapText="1"/>
    </xf>
    <xf numFmtId="0" fontId="15" fillId="0" borderId="11" xfId="0" applyFont="1" applyBorder="1" applyAlignment="1">
      <alignment horizontal="left" vertical="center" wrapText="1"/>
    </xf>
    <xf numFmtId="0" fontId="2" fillId="11" borderId="27" xfId="0" applyFont="1" applyFill="1" applyBorder="1" applyAlignment="1">
      <alignment horizontal="center"/>
    </xf>
    <xf numFmtId="0" fontId="2" fillId="11" borderId="0" xfId="0" applyFont="1" applyFill="1" applyAlignment="1">
      <alignment horizontal="center"/>
    </xf>
    <xf numFmtId="0" fontId="3" fillId="4" borderId="16"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15" fillId="0" borderId="6" xfId="0" applyFont="1" applyBorder="1" applyAlignment="1">
      <alignment horizontal="left" vertical="center" wrapText="1"/>
    </xf>
    <xf numFmtId="0" fontId="15" fillId="0" borderId="7" xfId="0" applyFont="1" applyBorder="1" applyAlignment="1">
      <alignment horizontal="left" vertical="center" wrapText="1"/>
    </xf>
    <xf numFmtId="0" fontId="12" fillId="0" borderId="25"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3" xfId="0" applyFont="1" applyBorder="1" applyAlignment="1">
      <alignment horizontal="justify" vertical="center" wrapText="1"/>
    </xf>
    <xf numFmtId="0" fontId="0" fillId="0" borderId="25" xfId="0" applyBorder="1" applyAlignment="1">
      <alignment horizontal="justify" vertical="center" wrapText="1"/>
    </xf>
    <xf numFmtId="0" fontId="0" fillId="0" borderId="26" xfId="0" applyBorder="1" applyAlignment="1">
      <alignment horizontal="justify" vertical="center" wrapText="1"/>
    </xf>
    <xf numFmtId="0" fontId="0" fillId="0" borderId="3" xfId="0" applyBorder="1" applyAlignment="1">
      <alignment horizontal="justify" vertical="center" wrapText="1"/>
    </xf>
    <xf numFmtId="0" fontId="12" fillId="0" borderId="25" xfId="0" applyFont="1" applyBorder="1" applyAlignment="1">
      <alignment vertical="center" wrapText="1"/>
    </xf>
    <xf numFmtId="0" fontId="12" fillId="0" borderId="26" xfId="0" applyFont="1" applyBorder="1" applyAlignment="1">
      <alignment vertical="center" wrapText="1"/>
    </xf>
    <xf numFmtId="0" fontId="12" fillId="0" borderId="3" xfId="0" applyFont="1" applyBorder="1" applyAlignment="1">
      <alignment vertical="center" wrapText="1"/>
    </xf>
    <xf numFmtId="0" fontId="2" fillId="0" borderId="25" xfId="0" applyFont="1" applyBorder="1" applyAlignment="1">
      <alignment horizontal="justify" vertical="center" wrapText="1"/>
    </xf>
    <xf numFmtId="0" fontId="2" fillId="0" borderId="26" xfId="0" applyFont="1" applyBorder="1" applyAlignment="1">
      <alignment horizontal="justify" vertical="center" wrapText="1"/>
    </xf>
    <xf numFmtId="0" fontId="2" fillId="0" borderId="3" xfId="0" applyFont="1" applyBorder="1" applyAlignment="1">
      <alignment horizontal="justify" vertical="center" wrapText="1"/>
    </xf>
    <xf numFmtId="0" fontId="3" fillId="4" borderId="5" xfId="0" applyFont="1" applyFill="1" applyBorder="1" applyAlignment="1">
      <alignment vertical="center" wrapText="1"/>
    </xf>
    <xf numFmtId="0" fontId="3" fillId="4" borderId="2" xfId="0" applyFont="1" applyFill="1" applyBorder="1" applyAlignment="1">
      <alignment vertical="center" wrapText="1"/>
    </xf>
    <xf numFmtId="0" fontId="3" fillId="4" borderId="5" xfId="0" applyFont="1" applyFill="1" applyBorder="1" applyAlignment="1">
      <alignment horizontal="center" vertical="center" wrapText="1"/>
    </xf>
    <xf numFmtId="0" fontId="3" fillId="4" borderId="18"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5" xfId="0" applyFont="1" applyFill="1" applyBorder="1" applyAlignment="1">
      <alignment horizontal="justify" vertical="center" wrapText="1"/>
    </xf>
    <xf numFmtId="0" fontId="3" fillId="4" borderId="2" xfId="0" applyFont="1" applyFill="1" applyBorder="1" applyAlignment="1">
      <alignment horizontal="justify" vertical="center" wrapText="1"/>
    </xf>
    <xf numFmtId="0" fontId="3" fillId="4" borderId="16" xfId="0" applyFont="1" applyFill="1" applyBorder="1" applyAlignment="1">
      <alignment horizontal="center" vertical="center"/>
    </xf>
    <xf numFmtId="0" fontId="3" fillId="4" borderId="28" xfId="0" applyFont="1" applyFill="1" applyBorder="1" applyAlignment="1">
      <alignment horizontal="center" vertical="center"/>
    </xf>
    <xf numFmtId="0" fontId="3" fillId="4" borderId="17" xfId="0" applyFont="1" applyFill="1" applyBorder="1" applyAlignment="1">
      <alignment horizontal="center" vertical="center"/>
    </xf>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3" xfId="0" applyFont="1" applyBorder="1" applyAlignment="1">
      <alignment horizontal="left" vertical="center" wrapText="1"/>
    </xf>
    <xf numFmtId="0" fontId="5" fillId="0" borderId="4" xfId="0" applyFont="1" applyBorder="1" applyAlignment="1">
      <alignment horizontal="left" vertical="center" wrapText="1"/>
    </xf>
    <xf numFmtId="0" fontId="17" fillId="11" borderId="5" xfId="0" applyFont="1" applyFill="1" applyBorder="1" applyAlignment="1">
      <alignment horizontal="justify" vertical="center" wrapText="1"/>
    </xf>
    <xf numFmtId="0" fontId="17" fillId="11" borderId="18" xfId="0" applyFont="1" applyFill="1" applyBorder="1" applyAlignment="1">
      <alignment horizontal="justify" vertical="center" wrapText="1"/>
    </xf>
    <xf numFmtId="0" fontId="17" fillId="11" borderId="2" xfId="0" applyFont="1" applyFill="1" applyBorder="1" applyAlignment="1">
      <alignment horizontal="justify" vertical="center" wrapText="1"/>
    </xf>
    <xf numFmtId="0" fontId="12" fillId="18" borderId="38" xfId="0" applyFont="1" applyFill="1" applyBorder="1" applyAlignment="1">
      <alignment horizontal="left" vertical="center" wrapText="1"/>
    </xf>
    <xf numFmtId="0" fontId="12" fillId="18" borderId="12" xfId="0" applyFont="1" applyFill="1" applyBorder="1" applyAlignment="1">
      <alignment horizontal="left" vertical="center" wrapText="1"/>
    </xf>
    <xf numFmtId="0" fontId="12" fillId="17" borderId="39" xfId="0" applyFont="1" applyFill="1" applyBorder="1" applyAlignment="1">
      <alignment horizontal="left" vertical="center" wrapText="1"/>
    </xf>
    <xf numFmtId="0" fontId="12" fillId="17" borderId="40" xfId="0" applyFont="1" applyFill="1" applyBorder="1" applyAlignment="1">
      <alignment horizontal="left" vertical="center" wrapText="1"/>
    </xf>
    <xf numFmtId="0" fontId="12" fillId="17" borderId="41" xfId="0" applyFont="1" applyFill="1" applyBorder="1" applyAlignment="1">
      <alignment horizontal="left" vertical="center" wrapText="1"/>
    </xf>
    <xf numFmtId="0" fontId="12" fillId="17" borderId="42" xfId="0" applyFont="1" applyFill="1" applyBorder="1" applyAlignment="1">
      <alignment horizontal="left" vertical="center" wrapText="1"/>
    </xf>
    <xf numFmtId="0" fontId="12" fillId="17" borderId="38" xfId="0" applyFont="1" applyFill="1" applyBorder="1" applyAlignment="1">
      <alignment horizontal="left" vertical="center" wrapText="1"/>
    </xf>
    <xf numFmtId="0" fontId="28" fillId="13" borderId="5" xfId="0" applyFont="1" applyFill="1" applyBorder="1" applyAlignment="1">
      <alignment horizontal="center" vertical="center" wrapText="1"/>
    </xf>
    <xf numFmtId="0" fontId="28" fillId="13" borderId="18" xfId="0" applyFont="1" applyFill="1" applyBorder="1" applyAlignment="1">
      <alignment horizontal="center" vertical="center" wrapText="1"/>
    </xf>
    <xf numFmtId="0" fontId="28" fillId="13" borderId="2" xfId="0" applyFont="1" applyFill="1" applyBorder="1" applyAlignment="1">
      <alignment horizontal="center" vertical="center" wrapText="1"/>
    </xf>
    <xf numFmtId="0" fontId="0" fillId="0" borderId="5" xfId="0" applyBorder="1" applyAlignment="1">
      <alignment horizontal="center" wrapText="1"/>
    </xf>
    <xf numFmtId="0" fontId="0" fillId="0" borderId="2" xfId="0" applyBorder="1" applyAlignment="1">
      <alignment horizontal="center" wrapText="1"/>
    </xf>
    <xf numFmtId="0" fontId="12" fillId="17" borderId="45" xfId="0" applyFont="1" applyFill="1" applyBorder="1" applyAlignment="1">
      <alignment horizontal="left" vertical="center" wrapText="1"/>
    </xf>
    <xf numFmtId="0" fontId="12" fillId="17" borderId="46" xfId="0" applyFont="1" applyFill="1" applyBorder="1" applyAlignment="1">
      <alignment horizontal="left" vertical="center" wrapText="1"/>
    </xf>
    <xf numFmtId="0" fontId="0" fillId="18" borderId="38" xfId="0" applyFill="1" applyBorder="1" applyAlignment="1">
      <alignment horizontal="left" vertical="center" wrapText="1"/>
    </xf>
    <xf numFmtId="0" fontId="0" fillId="18" borderId="12" xfId="0" applyFill="1" applyBorder="1" applyAlignment="1">
      <alignment horizontal="left" vertical="center" wrapText="1"/>
    </xf>
    <xf numFmtId="0" fontId="22" fillId="17" borderId="38" xfId="0" applyFont="1" applyFill="1" applyBorder="1" applyAlignment="1">
      <alignment horizontal="left" vertical="center" wrapText="1"/>
    </xf>
    <xf numFmtId="0" fontId="22" fillId="17" borderId="12" xfId="0" applyFont="1" applyFill="1" applyBorder="1" applyAlignment="1">
      <alignment horizontal="left" vertical="center" wrapText="1"/>
    </xf>
    <xf numFmtId="0" fontId="22" fillId="18" borderId="38" xfId="0" applyFont="1" applyFill="1" applyBorder="1" applyAlignment="1">
      <alignment horizontal="left" vertical="center" wrapText="1"/>
    </xf>
    <xf numFmtId="0" fontId="22" fillId="18" borderId="12" xfId="0" applyFont="1" applyFill="1" applyBorder="1" applyAlignment="1">
      <alignment horizontal="left" vertical="center" wrapText="1"/>
    </xf>
    <xf numFmtId="0" fontId="0" fillId="17" borderId="38" xfId="0" applyFill="1" applyBorder="1" applyAlignment="1">
      <alignment horizontal="left" vertical="center" wrapText="1"/>
    </xf>
    <xf numFmtId="0" fontId="0" fillId="17" borderId="12" xfId="0" applyFill="1" applyBorder="1" applyAlignment="1">
      <alignment horizontal="left" vertical="center" wrapText="1"/>
    </xf>
    <xf numFmtId="0" fontId="0" fillId="18" borderId="43" xfId="0" applyFill="1" applyBorder="1" applyAlignment="1">
      <alignment horizontal="left" vertical="center" wrapText="1"/>
    </xf>
    <xf numFmtId="0" fontId="0" fillId="18" borderId="44" xfId="0" applyFill="1" applyBorder="1" applyAlignment="1">
      <alignment horizontal="left" vertical="center" wrapText="1"/>
    </xf>
    <xf numFmtId="0" fontId="12" fillId="18" borderId="43" xfId="0" applyFont="1" applyFill="1" applyBorder="1" applyAlignment="1">
      <alignment horizontal="left" vertical="center" wrapText="1"/>
    </xf>
    <xf numFmtId="0" fontId="12" fillId="18" borderId="44" xfId="0" applyFont="1" applyFill="1" applyBorder="1" applyAlignment="1">
      <alignment horizontal="left" vertical="center" wrapText="1"/>
    </xf>
    <xf numFmtId="0" fontId="0" fillId="0" borderId="23" xfId="0" applyBorder="1" applyAlignment="1">
      <alignment horizontal="left" wrapText="1"/>
    </xf>
    <xf numFmtId="0" fontId="0" fillId="0" borderId="23" xfId="0" applyBorder="1" applyAlignment="1">
      <alignment horizontal="center" vertical="center"/>
    </xf>
    <xf numFmtId="0" fontId="10" fillId="0" borderId="34" xfId="0" applyFont="1" applyBorder="1" applyAlignment="1">
      <alignment horizontal="left" vertical="center" wrapText="1"/>
    </xf>
    <xf numFmtId="0" fontId="10" fillId="0" borderId="35" xfId="0" applyFont="1" applyBorder="1" applyAlignment="1">
      <alignment horizontal="left" vertical="center" wrapText="1"/>
    </xf>
    <xf numFmtId="0" fontId="10" fillId="0" borderId="36" xfId="0" applyFont="1" applyBorder="1" applyAlignment="1">
      <alignment horizontal="left" vertical="center" wrapText="1"/>
    </xf>
    <xf numFmtId="0" fontId="27" fillId="0" borderId="0" xfId="0" applyFont="1" applyAlignment="1">
      <alignment horizontal="center"/>
    </xf>
    <xf numFmtId="0" fontId="10" fillId="11" borderId="5" xfId="0" applyFont="1" applyFill="1" applyBorder="1" applyAlignment="1">
      <alignment horizontal="left" vertical="center" wrapText="1"/>
    </xf>
    <xf numFmtId="0" fontId="10" fillId="11" borderId="18" xfId="0" applyFont="1" applyFill="1" applyBorder="1" applyAlignment="1">
      <alignment horizontal="left" vertical="center" wrapText="1"/>
    </xf>
    <xf numFmtId="0" fontId="10" fillId="11" borderId="2" xfId="0" applyFont="1" applyFill="1" applyBorder="1" applyAlignment="1">
      <alignment horizontal="left" vertical="center" wrapText="1"/>
    </xf>
    <xf numFmtId="0" fontId="22" fillId="0" borderId="26" xfId="0" applyFont="1" applyBorder="1" applyAlignment="1">
      <alignment horizontal="center" vertical="center" wrapText="1"/>
    </xf>
    <xf numFmtId="0" fontId="22" fillId="19" borderId="15" xfId="0" applyFont="1" applyFill="1" applyBorder="1" applyAlignment="1">
      <alignment horizontal="justify" vertical="center" wrapText="1"/>
    </xf>
    <xf numFmtId="0" fontId="22" fillId="20" borderId="15" xfId="0" applyFont="1" applyFill="1" applyBorder="1" applyAlignment="1">
      <alignment horizontal="justify" vertical="center" wrapText="1"/>
    </xf>
    <xf numFmtId="0" fontId="22" fillId="0" borderId="1" xfId="0" applyFont="1" applyBorder="1" applyAlignment="1">
      <alignment horizontal="center" vertical="center" wrapText="1"/>
    </xf>
    <xf numFmtId="0" fontId="31" fillId="2" borderId="1" xfId="0" applyFont="1" applyFill="1" applyBorder="1" applyAlignment="1">
      <alignment wrapText="1"/>
    </xf>
    <xf numFmtId="0" fontId="31" fillId="28" borderId="1" xfId="0" applyFont="1" applyFill="1" applyBorder="1" applyAlignment="1">
      <alignment wrapText="1"/>
    </xf>
    <xf numFmtId="0" fontId="22" fillId="2" borderId="25" xfId="0" applyFont="1" applyFill="1" applyBorder="1" applyAlignment="1">
      <alignment vertical="center" wrapText="1"/>
    </xf>
    <xf numFmtId="0" fontId="22" fillId="28" borderId="1" xfId="0" applyFont="1" applyFill="1" applyBorder="1" applyAlignment="1">
      <alignment vertical="center" wrapText="1"/>
    </xf>
    <xf numFmtId="0" fontId="0" fillId="0" borderId="1" xfId="0" applyBorder="1" applyAlignment="1">
      <alignment horizontal="center" vertical="center"/>
    </xf>
    <xf numFmtId="10" fontId="10" fillId="0" borderId="54" xfId="0" applyNumberFormat="1" applyFont="1" applyBorder="1" applyAlignment="1">
      <alignment horizontal="center" vertical="center" wrapText="1"/>
    </xf>
    <xf numFmtId="0" fontId="0" fillId="0" borderId="0"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PE"/>
              <a:t>Distribución de Requerimientos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PE"/>
        </a:p>
      </c:txPr>
    </c:title>
    <c:autoTitleDeleted val="0"/>
    <c:plotArea>
      <c:layout/>
      <c:barChart>
        <c:barDir val="col"/>
        <c:grouping val="clustered"/>
        <c:varyColors val="0"/>
        <c:ser>
          <c:idx val="0"/>
          <c:order val="0"/>
          <c:tx>
            <c:strRef>
              <c:f>EVA!$C$314:$C$333</c:f>
              <c:strCache>
                <c:ptCount val="20"/>
                <c:pt idx="0">
                  <c:v>184.6</c:v>
                </c:pt>
                <c:pt idx="1">
                  <c:v>170.1</c:v>
                </c:pt>
                <c:pt idx="2">
                  <c:v>168.4</c:v>
                </c:pt>
                <c:pt idx="3">
                  <c:v>165.4</c:v>
                </c:pt>
                <c:pt idx="4">
                  <c:v>170.1</c:v>
                </c:pt>
                <c:pt idx="5">
                  <c:v>165.4</c:v>
                </c:pt>
                <c:pt idx="6">
                  <c:v>145.8</c:v>
                </c:pt>
                <c:pt idx="7">
                  <c:v>136</c:v>
                </c:pt>
                <c:pt idx="8">
                  <c:v>116.8</c:v>
                </c:pt>
                <c:pt idx="9">
                  <c:v>97.6</c:v>
                </c:pt>
                <c:pt idx="10">
                  <c:v>136</c:v>
                </c:pt>
                <c:pt idx="11">
                  <c:v>116.8</c:v>
                </c:pt>
                <c:pt idx="12">
                  <c:v>116.8</c:v>
                </c:pt>
                <c:pt idx="13">
                  <c:v>116.8</c:v>
                </c:pt>
                <c:pt idx="14">
                  <c:v>97.6</c:v>
                </c:pt>
                <c:pt idx="15">
                  <c:v>116.8</c:v>
                </c:pt>
                <c:pt idx="16">
                  <c:v>97.6</c:v>
                </c:pt>
                <c:pt idx="17">
                  <c:v>116.8</c:v>
                </c:pt>
                <c:pt idx="18">
                  <c:v>116.8</c:v>
                </c:pt>
                <c:pt idx="19">
                  <c:v>136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EVA!$B$314:$B$333</c:f>
              <c:strCache>
                <c:ptCount val="20"/>
                <c:pt idx="0">
                  <c:v>RF01</c:v>
                </c:pt>
                <c:pt idx="1">
                  <c:v>RF02</c:v>
                </c:pt>
                <c:pt idx="2">
                  <c:v>RF03</c:v>
                </c:pt>
                <c:pt idx="3">
                  <c:v>RF04</c:v>
                </c:pt>
                <c:pt idx="4">
                  <c:v>RF05</c:v>
                </c:pt>
                <c:pt idx="5">
                  <c:v>RF06</c:v>
                </c:pt>
                <c:pt idx="6">
                  <c:v>RF07</c:v>
                </c:pt>
                <c:pt idx="7">
                  <c:v>RF08</c:v>
                </c:pt>
                <c:pt idx="8">
                  <c:v>RF09</c:v>
                </c:pt>
                <c:pt idx="9">
                  <c:v>RF10</c:v>
                </c:pt>
                <c:pt idx="10">
                  <c:v>RF11</c:v>
                </c:pt>
                <c:pt idx="11">
                  <c:v>RF12</c:v>
                </c:pt>
                <c:pt idx="12">
                  <c:v>RF13</c:v>
                </c:pt>
                <c:pt idx="13">
                  <c:v>RF14</c:v>
                </c:pt>
                <c:pt idx="14">
                  <c:v>RF15</c:v>
                </c:pt>
                <c:pt idx="15">
                  <c:v>RF16</c:v>
                </c:pt>
                <c:pt idx="16">
                  <c:v>RF17</c:v>
                </c:pt>
                <c:pt idx="17">
                  <c:v>RF18</c:v>
                </c:pt>
                <c:pt idx="18">
                  <c:v>RF19</c:v>
                </c:pt>
                <c:pt idx="19">
                  <c:v>RF20</c:v>
                </c:pt>
              </c:strCache>
            </c:strRef>
          </c:cat>
          <c:val>
            <c:numRef>
              <c:f>EVA!$C$314:$C$333</c:f>
              <c:numCache>
                <c:formatCode>General</c:formatCode>
                <c:ptCount val="20"/>
                <c:pt idx="0">
                  <c:v>184.6</c:v>
                </c:pt>
                <c:pt idx="1">
                  <c:v>170.1</c:v>
                </c:pt>
                <c:pt idx="2">
                  <c:v>168.39999999999998</c:v>
                </c:pt>
                <c:pt idx="3">
                  <c:v>165.4</c:v>
                </c:pt>
                <c:pt idx="4">
                  <c:v>170.1</c:v>
                </c:pt>
                <c:pt idx="5">
                  <c:v>165.4</c:v>
                </c:pt>
                <c:pt idx="6">
                  <c:v>145.80000000000001</c:v>
                </c:pt>
                <c:pt idx="7">
                  <c:v>136</c:v>
                </c:pt>
                <c:pt idx="8">
                  <c:v>116.80000000000001</c:v>
                </c:pt>
                <c:pt idx="9">
                  <c:v>97.6</c:v>
                </c:pt>
                <c:pt idx="10">
                  <c:v>136.00000000000003</c:v>
                </c:pt>
                <c:pt idx="11">
                  <c:v>116.8</c:v>
                </c:pt>
                <c:pt idx="12">
                  <c:v>116.80000000000001</c:v>
                </c:pt>
                <c:pt idx="13">
                  <c:v>116.80000000000001</c:v>
                </c:pt>
                <c:pt idx="14">
                  <c:v>97.6</c:v>
                </c:pt>
                <c:pt idx="15">
                  <c:v>116.80000000000001</c:v>
                </c:pt>
                <c:pt idx="16">
                  <c:v>97.6</c:v>
                </c:pt>
                <c:pt idx="17">
                  <c:v>116.80000000000001</c:v>
                </c:pt>
                <c:pt idx="18">
                  <c:v>116.80000000000001</c:v>
                </c:pt>
                <c:pt idx="19">
                  <c:v>136.00000000000003</c:v>
                </c:pt>
              </c:numCache>
            </c:numRef>
          </c:val>
          <c:extLst>
            <c:ext xmlns:c16="http://schemas.microsoft.com/office/drawing/2014/chart" uri="{C3380CC4-5D6E-409C-BE32-E72D297353CC}">
              <c16:uniqueId val="{00000000-0D1C-47BE-9489-44960CF76486}"/>
            </c:ext>
          </c:extLst>
        </c:ser>
        <c:dLbls>
          <c:showLegendKey val="0"/>
          <c:showVal val="1"/>
          <c:showCatName val="0"/>
          <c:showSerName val="0"/>
          <c:showPercent val="0"/>
          <c:showBubbleSize val="0"/>
        </c:dLbls>
        <c:gapWidth val="199"/>
        <c:axId val="390112336"/>
        <c:axId val="390114416"/>
      </c:barChart>
      <c:catAx>
        <c:axId val="39011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PE"/>
          </a:p>
        </c:txPr>
        <c:crossAx val="390114416"/>
        <c:crosses val="autoZero"/>
        <c:auto val="1"/>
        <c:lblAlgn val="ctr"/>
        <c:lblOffset val="100"/>
        <c:noMultiLvlLbl val="0"/>
      </c:catAx>
      <c:valAx>
        <c:axId val="3901144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3901123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baseline="0"/>
              <a:t>Monitoreo de RF</a:t>
            </a:r>
            <a:endParaRPr lang="es-P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8D-4D14-9CC3-F50498A560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8D-4D14-9CC3-F50498A560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('RES-RF-RNF'!$B$15,'RES-RF-RNF'!$C$15)</c:f>
              <c:strCache>
                <c:ptCount val="2"/>
                <c:pt idx="0">
                  <c:v>RF – CASO</c:v>
                </c:pt>
                <c:pt idx="1">
                  <c:v>RF - CUMPLIDOS - EVIDENCIADO - PRODUCTO</c:v>
                </c:pt>
              </c:strCache>
            </c:strRef>
          </c:cat>
          <c:val>
            <c:numRef>
              <c:f>('RES-RF-RNF'!$B$36,'RES-RF-RNF'!$C$36)</c:f>
              <c:numCache>
                <c:formatCode>General</c:formatCode>
                <c:ptCount val="2"/>
                <c:pt idx="0">
                  <c:v>20</c:v>
                </c:pt>
                <c:pt idx="1">
                  <c:v>17</c:v>
                </c:pt>
              </c:numCache>
            </c:numRef>
          </c:val>
          <c:extLst>
            <c:ext xmlns:c16="http://schemas.microsoft.com/office/drawing/2014/chart" uri="{C3380CC4-5D6E-409C-BE32-E72D297353CC}">
              <c16:uniqueId val="{00000000-AF16-480B-9CD2-FA5F8AB1AFF2}"/>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a:t>Monitoreo de RNF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2F-4642-BA73-9E7892771E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2F-4642-BA73-9E7892771E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('RES-RF-RNF'!$D$15,'RES-RF-RNF'!$E$15)</c:f>
              <c:strCache>
                <c:ptCount val="2"/>
                <c:pt idx="0">
                  <c:v>RNF – CASO</c:v>
                </c:pt>
                <c:pt idx="1">
                  <c:v>RNF - CUMPLIDOS - EVIDENCIADO - PRODUCTO</c:v>
                </c:pt>
              </c:strCache>
            </c:strRef>
          </c:cat>
          <c:val>
            <c:numRef>
              <c:f>('RES-RF-RNF'!$D$36,'RES-RF-RNF'!$E$36)</c:f>
              <c:numCache>
                <c:formatCode>General</c:formatCode>
                <c:ptCount val="2"/>
                <c:pt idx="0">
                  <c:v>8</c:v>
                </c:pt>
                <c:pt idx="1">
                  <c:v>7</c:v>
                </c:pt>
              </c:numCache>
            </c:numRef>
          </c:val>
          <c:extLst>
            <c:ext xmlns:c16="http://schemas.microsoft.com/office/drawing/2014/chart" uri="{C3380CC4-5D6E-409C-BE32-E72D297353CC}">
              <c16:uniqueId val="{00000000-3B60-4733-9451-F31D0A69CDB9}"/>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PE" sz="1400" b="0" i="0" u="none">
                <a:solidFill>
                  <a:schemeClr val="tx1">
                    <a:lumMod val="65000"/>
                    <a:lumOff val="35000"/>
                  </a:schemeClr>
                </a:solidFill>
                <a:latin typeface="+mn-lt"/>
                <a:ea typeface="+mn-lt"/>
                <a:cs typeface="+mn-lt"/>
              </a:rPr>
              <a:t>Monitoreo de RF</a:t>
            </a:r>
          </a:p>
        </c:rich>
      </c:tx>
      <c:overlay val="1"/>
    </c:title>
    <c:autoTitleDeleted val="0"/>
    <c:plotArea>
      <c:layout/>
      <c:pieChart>
        <c:varyColors val="1"/>
        <c:ser>
          <c:idx val="0"/>
          <c:order val="0"/>
          <c:dPt>
            <c:idx val="0"/>
            <c:bubble3D val="0"/>
            <c:spPr>
              <a:solidFill>
                <a:schemeClr val="accent1"/>
              </a:solidFill>
              <a:ln w="19050">
                <a:solidFill>
                  <a:schemeClr val="lt1"/>
                </a:solidFill>
              </a:ln>
            </c:spPr>
            <c:extLst>
              <c:ext xmlns:c16="http://schemas.microsoft.com/office/drawing/2014/chart" uri="{C3380CC4-5D6E-409C-BE32-E72D297353CC}">
                <c16:uniqueId val="{00000001-7192-4A54-BC36-8040320BA430}"/>
              </c:ext>
            </c:extLst>
          </c:dPt>
          <c:dPt>
            <c:idx val="1"/>
            <c:bubble3D val="0"/>
            <c:spPr>
              <a:solidFill>
                <a:schemeClr val="accent2"/>
              </a:solidFill>
              <a:ln w="19050">
                <a:solidFill>
                  <a:schemeClr val="lt1"/>
                </a:solidFill>
              </a:ln>
            </c:spPr>
            <c:extLst>
              <c:ext xmlns:c16="http://schemas.microsoft.com/office/drawing/2014/chart" uri="{C3380CC4-5D6E-409C-BE32-E72D297353CC}">
                <c16:uniqueId val="{00000003-7192-4A54-BC36-8040320BA430}"/>
              </c:ext>
            </c:extLst>
          </c:dPt>
          <c:dLbls>
            <c:spPr>
              <a:noFill/>
              <a:ln>
                <a:noFill/>
              </a:ln>
            </c:spPr>
            <c:txPr>
              <a:bodyPr anchorCtr="1"/>
              <a:lstStyle/>
              <a:p>
                <a:pPr>
                  <a:defRPr sz="900" b="0" i="0" u="none">
                    <a:solidFill>
                      <a:schemeClr val="tx1">
                        <a:lumMod val="75000"/>
                        <a:lumOff val="25000"/>
                      </a:schemeClr>
                    </a:solidFill>
                    <a:latin typeface="+mn-lt"/>
                    <a:ea typeface="+mn-lt"/>
                    <a:cs typeface="+mn-lt"/>
                  </a:defRPr>
                </a:pPr>
                <a:endParaRPr lang="es-PE"/>
              </a:p>
            </c:txPr>
            <c:showLegendKey val="0"/>
            <c:showVal val="0"/>
            <c:showCatName val="1"/>
            <c:showSerName val="0"/>
            <c:showPercent val="1"/>
            <c:showBubbleSize val="0"/>
            <c:showLeaderLines val="1"/>
            <c:extLst>
              <c:ext xmlns:c15="http://schemas.microsoft.com/office/drawing/2012/chart" uri="{CE6537A1-D6FC-4f65-9D91-7224C49458BB}"/>
            </c:extLst>
          </c:dLbls>
          <c:cat>
            <c:strRef>
              <c:f>('[1]RES-RF-RNF'!$B$15,'[1]RES-RF-RNF'!$C$15)</c:f>
              <c:strCache>
                <c:ptCount val="2"/>
                <c:pt idx="0">
                  <c:v>RF – CASO</c:v>
                </c:pt>
                <c:pt idx="1">
                  <c:v>RF - CUMPLIDOS - EVIDENCIADO - PRODUCTO</c:v>
                </c:pt>
              </c:strCache>
            </c:strRef>
          </c:cat>
          <c:val>
            <c:numRef>
              <c:f>('[1]RES-RF-RNF'!$B$31,'[1]RES-RF-RNF'!$C$31)</c:f>
              <c:numCache>
                <c:formatCode>General</c:formatCode>
                <c:ptCount val="2"/>
                <c:pt idx="0">
                  <c:v>17</c:v>
                </c:pt>
                <c:pt idx="1">
                  <c:v>12</c:v>
                </c:pt>
              </c:numCache>
            </c:numRef>
          </c:val>
          <c:extLst>
            <c:ext xmlns:c16="http://schemas.microsoft.com/office/drawing/2014/chart" uri="{C3380CC4-5D6E-409C-BE32-E72D297353CC}">
              <c16:uniqueId val="{00000004-7192-4A54-BC36-8040320BA430}"/>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PE" sz="1400" b="0" i="0" u="none">
                <a:solidFill>
                  <a:schemeClr val="tx1">
                    <a:lumMod val="65000"/>
                    <a:lumOff val="35000"/>
                  </a:schemeClr>
                </a:solidFill>
                <a:latin typeface="+mn-lt"/>
                <a:ea typeface="+mn-lt"/>
                <a:cs typeface="+mn-lt"/>
              </a:rPr>
              <a:t>Monitoreo de RNF</a:t>
            </a:r>
          </a:p>
        </c:rich>
      </c:tx>
      <c:overlay val="1"/>
    </c:title>
    <c:autoTitleDeleted val="0"/>
    <c:plotArea>
      <c:layout/>
      <c:pieChart>
        <c:varyColors val="1"/>
        <c:ser>
          <c:idx val="0"/>
          <c:order val="0"/>
          <c:dPt>
            <c:idx val="0"/>
            <c:bubble3D val="0"/>
            <c:spPr>
              <a:solidFill>
                <a:schemeClr val="accent1"/>
              </a:solidFill>
              <a:ln w="19050">
                <a:solidFill>
                  <a:schemeClr val="lt1"/>
                </a:solidFill>
              </a:ln>
            </c:spPr>
            <c:extLst>
              <c:ext xmlns:c16="http://schemas.microsoft.com/office/drawing/2014/chart" uri="{C3380CC4-5D6E-409C-BE32-E72D297353CC}">
                <c16:uniqueId val="{00000001-482C-4636-B050-F2C8D45193D8}"/>
              </c:ext>
            </c:extLst>
          </c:dPt>
          <c:dPt>
            <c:idx val="1"/>
            <c:bubble3D val="0"/>
            <c:spPr>
              <a:solidFill>
                <a:schemeClr val="accent2"/>
              </a:solidFill>
              <a:ln w="19050">
                <a:solidFill>
                  <a:schemeClr val="lt1"/>
                </a:solidFill>
              </a:ln>
            </c:spPr>
            <c:extLst>
              <c:ext xmlns:c16="http://schemas.microsoft.com/office/drawing/2014/chart" uri="{C3380CC4-5D6E-409C-BE32-E72D297353CC}">
                <c16:uniqueId val="{00000003-482C-4636-B050-F2C8D45193D8}"/>
              </c:ext>
            </c:extLst>
          </c:dPt>
          <c:dLbls>
            <c:spPr>
              <a:noFill/>
              <a:ln>
                <a:noFill/>
              </a:ln>
            </c:spPr>
            <c:txPr>
              <a:bodyPr anchorCtr="1"/>
              <a:lstStyle/>
              <a:p>
                <a:pPr>
                  <a:defRPr sz="900" b="0" i="0" u="none">
                    <a:solidFill>
                      <a:schemeClr val="tx1">
                        <a:lumMod val="75000"/>
                        <a:lumOff val="25000"/>
                      </a:schemeClr>
                    </a:solidFill>
                    <a:latin typeface="+mn-lt"/>
                    <a:ea typeface="+mn-lt"/>
                    <a:cs typeface="+mn-lt"/>
                  </a:defRPr>
                </a:pPr>
                <a:endParaRPr lang="es-PE"/>
              </a:p>
            </c:txPr>
            <c:showLegendKey val="0"/>
            <c:showVal val="0"/>
            <c:showCatName val="1"/>
            <c:showSerName val="0"/>
            <c:showPercent val="1"/>
            <c:showBubbleSize val="0"/>
            <c:showLeaderLines val="1"/>
            <c:extLst>
              <c:ext xmlns:c15="http://schemas.microsoft.com/office/drawing/2012/chart" uri="{CE6537A1-D6FC-4f65-9D91-7224C49458BB}"/>
            </c:extLst>
          </c:dLbls>
          <c:cat>
            <c:strRef>
              <c:f>('[1]RES-RF-RNF'!$D$15,'[1]RES-RF-RNF'!$E$15)</c:f>
              <c:strCache>
                <c:ptCount val="2"/>
                <c:pt idx="0">
                  <c:v>RNF – CASO</c:v>
                </c:pt>
                <c:pt idx="1">
                  <c:v>RNF - CUMPLIDOS - EVIDENCIADO - PRODUCTO</c:v>
                </c:pt>
              </c:strCache>
            </c:strRef>
          </c:cat>
          <c:val>
            <c:numRef>
              <c:f>('[1]RES-RF-RNF'!$D$31,'[1]RES-RF-RNF'!$E$31)</c:f>
              <c:numCache>
                <c:formatCode>General</c:formatCode>
                <c:ptCount val="2"/>
                <c:pt idx="0">
                  <c:v>8</c:v>
                </c:pt>
                <c:pt idx="1">
                  <c:v>7</c:v>
                </c:pt>
              </c:numCache>
            </c:numRef>
          </c:val>
          <c:extLst>
            <c:ext xmlns:c16="http://schemas.microsoft.com/office/drawing/2014/chart" uri="{C3380CC4-5D6E-409C-BE32-E72D297353CC}">
              <c16:uniqueId val="{00000004-482C-4636-B050-F2C8D45193D8}"/>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740019</xdr:colOff>
      <xdr:row>22</xdr:row>
      <xdr:rowOff>263769</xdr:rowOff>
    </xdr:from>
    <xdr:to>
      <xdr:col>1</xdr:col>
      <xdr:colOff>747346</xdr:colOff>
      <xdr:row>23</xdr:row>
      <xdr:rowOff>109904</xdr:rowOff>
    </xdr:to>
    <xdr:cxnSp macro="">
      <xdr:nvCxnSpPr>
        <xdr:cNvPr id="2" name="Conector recto de flecha 1">
          <a:extLst>
            <a:ext uri="{FF2B5EF4-FFF2-40B4-BE49-F238E27FC236}">
              <a16:creationId xmlns:a16="http://schemas.microsoft.com/office/drawing/2014/main" id="{9E153EEE-9A29-4892-A0D8-990AC1EFAD77}"/>
            </a:ext>
          </a:extLst>
        </xdr:cNvPr>
        <xdr:cNvCxnSpPr/>
      </xdr:nvCxnSpPr>
      <xdr:spPr>
        <a:xfrm flipV="1">
          <a:off x="3856599" y="6702669"/>
          <a:ext cx="7327" cy="21189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740019</xdr:colOff>
      <xdr:row>29</xdr:row>
      <xdr:rowOff>263769</xdr:rowOff>
    </xdr:from>
    <xdr:to>
      <xdr:col>1</xdr:col>
      <xdr:colOff>747346</xdr:colOff>
      <xdr:row>30</xdr:row>
      <xdr:rowOff>109904</xdr:rowOff>
    </xdr:to>
    <xdr:cxnSp macro="">
      <xdr:nvCxnSpPr>
        <xdr:cNvPr id="3" name="Conector recto de flecha 2">
          <a:extLst>
            <a:ext uri="{FF2B5EF4-FFF2-40B4-BE49-F238E27FC236}">
              <a16:creationId xmlns:a16="http://schemas.microsoft.com/office/drawing/2014/main" id="{D20A006B-F3F1-498C-9DDA-BB957EDE9480}"/>
            </a:ext>
            <a:ext uri="{147F2762-F138-4A5C-976F-8EAC2B608ADB}">
              <a16:predDERef xmlns:a16="http://schemas.microsoft.com/office/drawing/2014/main" pred="{7177D594-14EE-A926-65AE-2C69050ED23C}"/>
            </a:ext>
          </a:extLst>
        </xdr:cNvPr>
        <xdr:cNvCxnSpPr/>
      </xdr:nvCxnSpPr>
      <xdr:spPr>
        <a:xfrm flipV="1">
          <a:off x="3856599" y="10276449"/>
          <a:ext cx="7327" cy="21189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740019</xdr:colOff>
      <xdr:row>36</xdr:row>
      <xdr:rowOff>263769</xdr:rowOff>
    </xdr:from>
    <xdr:to>
      <xdr:col>1</xdr:col>
      <xdr:colOff>747346</xdr:colOff>
      <xdr:row>37</xdr:row>
      <xdr:rowOff>109904</xdr:rowOff>
    </xdr:to>
    <xdr:cxnSp macro="">
      <xdr:nvCxnSpPr>
        <xdr:cNvPr id="4" name="Conector recto de flecha 2">
          <a:extLst>
            <a:ext uri="{FF2B5EF4-FFF2-40B4-BE49-F238E27FC236}">
              <a16:creationId xmlns:a16="http://schemas.microsoft.com/office/drawing/2014/main" id="{60000431-3C93-42B1-A985-FDAFF060D674}"/>
            </a:ext>
            <a:ext uri="{147F2762-F138-4A5C-976F-8EAC2B608ADB}">
              <a16:predDERef xmlns:a16="http://schemas.microsoft.com/office/drawing/2014/main" pred="{66B23F36-BC66-4E7A-826A-1C6EC6FA813C}"/>
            </a:ext>
          </a:extLst>
        </xdr:cNvPr>
        <xdr:cNvCxnSpPr/>
      </xdr:nvCxnSpPr>
      <xdr:spPr>
        <a:xfrm flipV="1">
          <a:off x="3856599" y="13956909"/>
          <a:ext cx="7327" cy="21189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740019</xdr:colOff>
      <xdr:row>50</xdr:row>
      <xdr:rowOff>263769</xdr:rowOff>
    </xdr:from>
    <xdr:to>
      <xdr:col>1</xdr:col>
      <xdr:colOff>747346</xdr:colOff>
      <xdr:row>51</xdr:row>
      <xdr:rowOff>109904</xdr:rowOff>
    </xdr:to>
    <xdr:cxnSp macro="">
      <xdr:nvCxnSpPr>
        <xdr:cNvPr id="5" name="Conector recto de flecha 2">
          <a:extLst>
            <a:ext uri="{FF2B5EF4-FFF2-40B4-BE49-F238E27FC236}">
              <a16:creationId xmlns:a16="http://schemas.microsoft.com/office/drawing/2014/main" id="{F42311C3-0842-4CD0-8219-14464EE9248F}"/>
            </a:ext>
            <a:ext uri="{147F2762-F138-4A5C-976F-8EAC2B608ADB}">
              <a16:predDERef xmlns:a16="http://schemas.microsoft.com/office/drawing/2014/main" pred="{39CC4DE6-A6E7-469A-B89E-31F4EB0273A2}"/>
            </a:ext>
          </a:extLst>
        </xdr:cNvPr>
        <xdr:cNvCxnSpPr/>
      </xdr:nvCxnSpPr>
      <xdr:spPr>
        <a:xfrm flipV="1">
          <a:off x="3856599" y="20952069"/>
          <a:ext cx="7327" cy="21189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740019</xdr:colOff>
      <xdr:row>43</xdr:row>
      <xdr:rowOff>263769</xdr:rowOff>
    </xdr:from>
    <xdr:to>
      <xdr:col>1</xdr:col>
      <xdr:colOff>747346</xdr:colOff>
      <xdr:row>44</xdr:row>
      <xdr:rowOff>109904</xdr:rowOff>
    </xdr:to>
    <xdr:cxnSp macro="">
      <xdr:nvCxnSpPr>
        <xdr:cNvPr id="6" name="Conector recto de flecha 2">
          <a:extLst>
            <a:ext uri="{FF2B5EF4-FFF2-40B4-BE49-F238E27FC236}">
              <a16:creationId xmlns:a16="http://schemas.microsoft.com/office/drawing/2014/main" id="{F0F90BA6-8D19-47E5-A323-61F80FC9AA2B}"/>
            </a:ext>
            <a:ext uri="{147F2762-F138-4A5C-976F-8EAC2B608ADB}">
              <a16:predDERef xmlns:a16="http://schemas.microsoft.com/office/drawing/2014/main" pred="{66B23F36-BC66-4E7A-826A-1C6EC6FA813C}"/>
            </a:ext>
          </a:extLst>
        </xdr:cNvPr>
        <xdr:cNvCxnSpPr/>
      </xdr:nvCxnSpPr>
      <xdr:spPr>
        <a:xfrm flipV="1">
          <a:off x="3858357" y="15568246"/>
          <a:ext cx="7327" cy="39712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402647</xdr:colOff>
      <xdr:row>311</xdr:row>
      <xdr:rowOff>131185</xdr:rowOff>
    </xdr:from>
    <xdr:to>
      <xdr:col>10</xdr:col>
      <xdr:colOff>0</xdr:colOff>
      <xdr:row>346</xdr:row>
      <xdr:rowOff>171450</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38</xdr:row>
      <xdr:rowOff>29308</xdr:rowOff>
    </xdr:from>
    <xdr:to>
      <xdr:col>3</xdr:col>
      <xdr:colOff>131884</xdr:colOff>
      <xdr:row>56</xdr:row>
      <xdr:rowOff>58615</xdr:rowOff>
    </xdr:to>
    <xdr:graphicFrame macro="">
      <xdr:nvGraphicFramePr>
        <xdr:cNvPr id="13" name="Gráfico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234461</xdr:colOff>
      <xdr:row>38</xdr:row>
      <xdr:rowOff>29308</xdr:rowOff>
    </xdr:from>
    <xdr:to>
      <xdr:col>4</xdr:col>
      <xdr:colOff>2886806</xdr:colOff>
      <xdr:row>56</xdr:row>
      <xdr:rowOff>51288</xdr:rowOff>
    </xdr:to>
    <xdr:graphicFrame macro="">
      <xdr:nvGraphicFramePr>
        <xdr:cNvPr id="14" name="Gráfico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38</xdr:row>
      <xdr:rowOff>29308</xdr:rowOff>
    </xdr:from>
    <xdr:to>
      <xdr:col>3</xdr:col>
      <xdr:colOff>131884</xdr:colOff>
      <xdr:row>56</xdr:row>
      <xdr:rowOff>58615</xdr:rowOff>
    </xdr:to>
    <xdr:graphicFrame macro="">
      <xdr:nvGraphicFramePr>
        <xdr:cNvPr id="2" name="Chart">
          <a:extLst>
            <a:ext uri="{FF2B5EF4-FFF2-40B4-BE49-F238E27FC236}">
              <a16:creationId xmlns:a16="http://schemas.microsoft.com/office/drawing/2014/main" id="{309E8B6B-81A6-446A-BE65-2D48FF113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234461</xdr:colOff>
      <xdr:row>38</xdr:row>
      <xdr:rowOff>29308</xdr:rowOff>
    </xdr:from>
    <xdr:to>
      <xdr:col>4</xdr:col>
      <xdr:colOff>2886806</xdr:colOff>
      <xdr:row>56</xdr:row>
      <xdr:rowOff>51288</xdr:rowOff>
    </xdr:to>
    <xdr:graphicFrame macro="">
      <xdr:nvGraphicFramePr>
        <xdr:cNvPr id="7" name="Chart">
          <a:extLst>
            <a:ext uri="{FF2B5EF4-FFF2-40B4-BE49-F238E27FC236}">
              <a16:creationId xmlns:a16="http://schemas.microsoft.com/office/drawing/2014/main" id="{7E0AB24B-D746-419A-8EFC-D9DC18478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UARIO\Downloads\RES_RF_RNF_COMPLETADO.xlsx" TargetMode="External"/><Relationship Id="rId1" Type="http://schemas.openxmlformats.org/officeDocument/2006/relationships/externalLinkPath" Target="RES_RF_RNF_COMPLET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RF-RNF"/>
    </sheetNames>
    <sheetDataSet>
      <sheetData sheetId="0">
        <row r="15">
          <cell r="B15" t="str">
            <v>RF – CASO</v>
          </cell>
          <cell r="C15" t="str">
            <v>RF - CUMPLIDOS - EVIDENCIADO - PRODUCTO</v>
          </cell>
          <cell r="D15" t="str">
            <v>RNF – CASO</v>
          </cell>
          <cell r="E15" t="str">
            <v>RNF - CUMPLIDOS - EVIDENCIADO - PRODUCTO</v>
          </cell>
        </row>
        <row r="31">
          <cell r="B31">
            <v>17</v>
          </cell>
          <cell r="C31">
            <v>12</v>
          </cell>
          <cell r="D31">
            <v>8</v>
          </cell>
          <cell r="E31">
            <v>7</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97"/>
  <sheetViews>
    <sheetView topLeftCell="A55" zoomScale="130" zoomScaleNormal="130" workbookViewId="0">
      <selection activeCell="B62" sqref="B62"/>
    </sheetView>
  </sheetViews>
  <sheetFormatPr baseColWidth="10" defaultRowHeight="14.4" x14ac:dyDescent="0.3"/>
  <cols>
    <col min="1" max="1" width="45.44140625" customWidth="1"/>
    <col min="2" max="2" width="45.6640625" customWidth="1"/>
    <col min="3" max="3" width="31.5546875" customWidth="1"/>
  </cols>
  <sheetData>
    <row r="2" spans="1:3" ht="15" thickBot="1" x14ac:dyDescent="0.35">
      <c r="A2" s="141" t="s">
        <v>44</v>
      </c>
      <c r="B2" s="142"/>
      <c r="C2" s="142"/>
    </row>
    <row r="3" spans="1:3" ht="21" customHeight="1" thickBot="1" x14ac:dyDescent="0.35">
      <c r="A3" s="1" t="s">
        <v>16</v>
      </c>
      <c r="B3" s="2" t="s">
        <v>17</v>
      </c>
    </row>
    <row r="4" spans="1:3" ht="24.75" customHeight="1" thickBot="1" x14ac:dyDescent="0.35">
      <c r="A4" s="57" t="s">
        <v>177</v>
      </c>
      <c r="B4" s="58" t="s">
        <v>178</v>
      </c>
    </row>
    <row r="5" spans="1:3" ht="25.5" customHeight="1" thickBot="1" x14ac:dyDescent="0.35">
      <c r="A5" s="159" t="s">
        <v>18</v>
      </c>
      <c r="B5" s="160"/>
    </row>
    <row r="6" spans="1:3" ht="20.399999999999999" customHeight="1" x14ac:dyDescent="0.3">
      <c r="A6" s="169" t="s">
        <v>154</v>
      </c>
      <c r="B6" s="170"/>
    </row>
    <row r="7" spans="1:3" ht="21" customHeight="1" x14ac:dyDescent="0.3">
      <c r="A7" s="171"/>
      <c r="B7" s="172"/>
    </row>
    <row r="8" spans="1:3" ht="21" customHeight="1" thickBot="1" x14ac:dyDescent="0.35">
      <c r="A8" s="173"/>
      <c r="B8" s="174"/>
    </row>
    <row r="9" spans="1:3" ht="44.25" customHeight="1" thickBot="1" x14ac:dyDescent="0.35">
      <c r="A9" s="164" t="s">
        <v>19</v>
      </c>
      <c r="B9" s="165"/>
    </row>
    <row r="10" spans="1:3" ht="24" customHeight="1" x14ac:dyDescent="0.3">
      <c r="A10" s="169" t="s">
        <v>155</v>
      </c>
      <c r="B10" s="170"/>
    </row>
    <row r="11" spans="1:3" ht="24.6" customHeight="1" x14ac:dyDescent="0.3">
      <c r="A11" s="171"/>
      <c r="B11" s="172"/>
    </row>
    <row r="12" spans="1:3" ht="24" customHeight="1" thickBot="1" x14ac:dyDescent="0.35">
      <c r="A12" s="173"/>
      <c r="B12" s="174"/>
    </row>
    <row r="13" spans="1:3" ht="15" thickBot="1" x14ac:dyDescent="0.35"/>
    <row r="14" spans="1:3" ht="30" customHeight="1" thickBot="1" x14ac:dyDescent="0.35">
      <c r="A14" s="175" t="s">
        <v>84</v>
      </c>
      <c r="B14" s="176"/>
      <c r="C14" s="177"/>
    </row>
    <row r="15" spans="1:3" ht="15" thickBot="1" x14ac:dyDescent="0.35">
      <c r="A15" s="10" t="s">
        <v>45</v>
      </c>
      <c r="B15" s="11" t="s">
        <v>46</v>
      </c>
      <c r="C15" s="11" t="s">
        <v>47</v>
      </c>
    </row>
    <row r="16" spans="1:3" ht="73.2" customHeight="1" thickBot="1" x14ac:dyDescent="0.35">
      <c r="A16" s="12" t="s">
        <v>48</v>
      </c>
      <c r="B16" s="13" t="s">
        <v>156</v>
      </c>
      <c r="C16" s="13" t="s">
        <v>49</v>
      </c>
    </row>
    <row r="17" spans="1:3" ht="39" customHeight="1" thickBot="1" x14ac:dyDescent="0.35">
      <c r="A17" s="12" t="s">
        <v>50</v>
      </c>
      <c r="B17" s="13" t="s">
        <v>157</v>
      </c>
      <c r="C17" s="13" t="s">
        <v>51</v>
      </c>
    </row>
    <row r="18" spans="1:3" ht="29.4" thickBot="1" x14ac:dyDescent="0.35">
      <c r="A18" s="12" t="s">
        <v>52</v>
      </c>
      <c r="B18" s="13" t="s">
        <v>95</v>
      </c>
      <c r="C18" s="26" t="s">
        <v>53</v>
      </c>
    </row>
    <row r="19" spans="1:3" ht="15" thickBot="1" x14ac:dyDescent="0.35"/>
    <row r="20" spans="1:3" x14ac:dyDescent="0.3">
      <c r="A20" s="166" t="s">
        <v>54</v>
      </c>
      <c r="B20" s="167"/>
      <c r="C20" s="168"/>
    </row>
    <row r="21" spans="1:3" x14ac:dyDescent="0.3">
      <c r="A21" s="28" t="s">
        <v>103</v>
      </c>
      <c r="B21" s="27" t="s">
        <v>104</v>
      </c>
      <c r="C21" s="29" t="s">
        <v>105</v>
      </c>
    </row>
    <row r="22" spans="1:3" ht="86.4" x14ac:dyDescent="0.3">
      <c r="A22" s="30" t="s">
        <v>98</v>
      </c>
      <c r="B22" s="48" t="s">
        <v>150</v>
      </c>
      <c r="C22" s="51" t="s">
        <v>158</v>
      </c>
    </row>
    <row r="23" spans="1:3" ht="43.2" x14ac:dyDescent="0.3">
      <c r="A23" s="30" t="s">
        <v>99</v>
      </c>
      <c r="B23" s="48" t="s">
        <v>100</v>
      </c>
      <c r="C23" s="52" t="s">
        <v>159</v>
      </c>
    </row>
    <row r="24" spans="1:3" ht="43.2" x14ac:dyDescent="0.3">
      <c r="A24" s="30" t="s">
        <v>101</v>
      </c>
      <c r="B24" s="48" t="s">
        <v>102</v>
      </c>
      <c r="C24" s="51" t="s">
        <v>160</v>
      </c>
    </row>
    <row r="25" spans="1:3" ht="136.19999999999999" customHeight="1" thickBot="1" x14ac:dyDescent="0.35">
      <c r="A25" s="31" t="s">
        <v>107</v>
      </c>
      <c r="B25" s="49" t="s">
        <v>106</v>
      </c>
      <c r="C25" s="53" t="s">
        <v>169</v>
      </c>
    </row>
    <row r="26" spans="1:3" ht="15" thickBot="1" x14ac:dyDescent="0.35"/>
    <row r="27" spans="1:3" ht="15" thickBot="1" x14ac:dyDescent="0.35">
      <c r="A27" s="161" t="s">
        <v>55</v>
      </c>
      <c r="B27" s="162"/>
      <c r="C27" s="163"/>
    </row>
    <row r="28" spans="1:3" x14ac:dyDescent="0.3">
      <c r="A28" s="28" t="s">
        <v>103</v>
      </c>
      <c r="B28" s="27" t="s">
        <v>104</v>
      </c>
      <c r="C28" s="29" t="s">
        <v>105</v>
      </c>
    </row>
    <row r="29" spans="1:3" ht="72" x14ac:dyDescent="0.3">
      <c r="A29" s="30" t="s">
        <v>98</v>
      </c>
      <c r="B29" s="48" t="s">
        <v>151</v>
      </c>
      <c r="C29" s="51" t="s">
        <v>161</v>
      </c>
    </row>
    <row r="30" spans="1:3" ht="43.2" x14ac:dyDescent="0.3">
      <c r="A30" s="30" t="s">
        <v>99</v>
      </c>
      <c r="B30" s="48" t="s">
        <v>100</v>
      </c>
      <c r="C30" s="52" t="s">
        <v>159</v>
      </c>
    </row>
    <row r="31" spans="1:3" ht="43.2" x14ac:dyDescent="0.3">
      <c r="A31" s="30" t="s">
        <v>101</v>
      </c>
      <c r="B31" s="48" t="s">
        <v>102</v>
      </c>
      <c r="C31" s="51" t="s">
        <v>160</v>
      </c>
    </row>
    <row r="32" spans="1:3" ht="87" thickBot="1" x14ac:dyDescent="0.35">
      <c r="A32" s="31" t="s">
        <v>108</v>
      </c>
      <c r="B32" s="49" t="s">
        <v>106</v>
      </c>
      <c r="C32" s="53" t="s">
        <v>170</v>
      </c>
    </row>
    <row r="33" spans="1:3" ht="15" thickBot="1" x14ac:dyDescent="0.35">
      <c r="A33" s="32"/>
      <c r="B33" s="33"/>
      <c r="C33" s="34"/>
    </row>
    <row r="34" spans="1:3" ht="15" thickBot="1" x14ac:dyDescent="0.35">
      <c r="A34" s="161" t="s">
        <v>56</v>
      </c>
      <c r="B34" s="162"/>
      <c r="C34" s="163"/>
    </row>
    <row r="35" spans="1:3" x14ac:dyDescent="0.3">
      <c r="A35" s="28" t="s">
        <v>103</v>
      </c>
      <c r="B35" s="27" t="s">
        <v>104</v>
      </c>
      <c r="C35" s="29" t="s">
        <v>105</v>
      </c>
    </row>
    <row r="36" spans="1:3" ht="57.6" x14ac:dyDescent="0.3">
      <c r="A36" s="30" t="s">
        <v>98</v>
      </c>
      <c r="B36" s="48" t="s">
        <v>162</v>
      </c>
      <c r="C36" s="51" t="s">
        <v>163</v>
      </c>
    </row>
    <row r="37" spans="1:3" ht="43.2" x14ac:dyDescent="0.3">
      <c r="A37" s="30" t="s">
        <v>99</v>
      </c>
      <c r="B37" s="48" t="s">
        <v>100</v>
      </c>
      <c r="C37" s="52" t="s">
        <v>159</v>
      </c>
    </row>
    <row r="38" spans="1:3" ht="43.2" x14ac:dyDescent="0.3">
      <c r="A38" s="30" t="s">
        <v>101</v>
      </c>
      <c r="B38" s="48" t="s">
        <v>102</v>
      </c>
      <c r="C38" s="51" t="s">
        <v>160</v>
      </c>
    </row>
    <row r="39" spans="1:3" ht="87" thickBot="1" x14ac:dyDescent="0.35">
      <c r="A39" s="31" t="s">
        <v>109</v>
      </c>
      <c r="B39" s="49" t="s">
        <v>106</v>
      </c>
      <c r="C39" s="53" t="s">
        <v>164</v>
      </c>
    </row>
    <row r="40" spans="1:3" s="35" customFormat="1" ht="15" thickBot="1" x14ac:dyDescent="0.35">
      <c r="A40" s="32"/>
      <c r="B40" s="33"/>
      <c r="C40" s="33"/>
    </row>
    <row r="41" spans="1:3" ht="15" thickBot="1" x14ac:dyDescent="0.35">
      <c r="A41" s="161" t="s">
        <v>57</v>
      </c>
      <c r="B41" s="162"/>
      <c r="C41" s="163"/>
    </row>
    <row r="42" spans="1:3" x14ac:dyDescent="0.3">
      <c r="A42" s="28" t="s">
        <v>103</v>
      </c>
      <c r="B42" s="27" t="s">
        <v>104</v>
      </c>
      <c r="C42" s="29" t="s">
        <v>105</v>
      </c>
    </row>
    <row r="43" spans="1:3" ht="57.6" x14ac:dyDescent="0.3">
      <c r="A43" s="30" t="s">
        <v>98</v>
      </c>
      <c r="B43" s="48" t="s">
        <v>152</v>
      </c>
      <c r="C43" s="51" t="s">
        <v>165</v>
      </c>
    </row>
    <row r="44" spans="1:3" ht="43.2" x14ac:dyDescent="0.3">
      <c r="A44" s="30" t="s">
        <v>99</v>
      </c>
      <c r="B44" s="48" t="s">
        <v>100</v>
      </c>
      <c r="C44" s="52" t="s">
        <v>159</v>
      </c>
    </row>
    <row r="45" spans="1:3" ht="43.2" x14ac:dyDescent="0.3">
      <c r="A45" s="30" t="s">
        <v>101</v>
      </c>
      <c r="B45" s="48" t="s">
        <v>102</v>
      </c>
      <c r="C45" s="51" t="s">
        <v>160</v>
      </c>
    </row>
    <row r="46" spans="1:3" ht="72.599999999999994" thickBot="1" x14ac:dyDescent="0.35">
      <c r="A46" s="31" t="s">
        <v>109</v>
      </c>
      <c r="B46" s="49" t="s">
        <v>106</v>
      </c>
      <c r="C46" s="53" t="s">
        <v>166</v>
      </c>
    </row>
    <row r="47" spans="1:3" s="35" customFormat="1" ht="15" thickBot="1" x14ac:dyDescent="0.35">
      <c r="A47" s="32"/>
      <c r="B47" s="33"/>
      <c r="C47" s="33"/>
    </row>
    <row r="48" spans="1:3" ht="15" thickBot="1" x14ac:dyDescent="0.35">
      <c r="A48" s="161" t="s">
        <v>58</v>
      </c>
      <c r="B48" s="162"/>
      <c r="C48" s="163"/>
    </row>
    <row r="49" spans="1:3" x14ac:dyDescent="0.3">
      <c r="A49" s="28" t="s">
        <v>103</v>
      </c>
      <c r="B49" s="27" t="s">
        <v>104</v>
      </c>
      <c r="C49" s="29" t="s">
        <v>105</v>
      </c>
    </row>
    <row r="50" spans="1:3" ht="57.6" x14ac:dyDescent="0.3">
      <c r="A50" s="30" t="s">
        <v>98</v>
      </c>
      <c r="B50" s="48" t="s">
        <v>153</v>
      </c>
      <c r="C50" s="51" t="s">
        <v>167</v>
      </c>
    </row>
    <row r="51" spans="1:3" ht="43.2" x14ac:dyDescent="0.3">
      <c r="A51" s="30" t="s">
        <v>99</v>
      </c>
      <c r="B51" s="48" t="s">
        <v>100</v>
      </c>
      <c r="C51" s="52" t="s">
        <v>159</v>
      </c>
    </row>
    <row r="52" spans="1:3" ht="43.2" x14ac:dyDescent="0.3">
      <c r="A52" s="30" t="s">
        <v>101</v>
      </c>
      <c r="B52" s="48" t="s">
        <v>102</v>
      </c>
      <c r="C52" s="51" t="s">
        <v>160</v>
      </c>
    </row>
    <row r="53" spans="1:3" ht="101.4" thickBot="1" x14ac:dyDescent="0.35">
      <c r="A53" s="31" t="s">
        <v>110</v>
      </c>
      <c r="B53" s="50" t="s">
        <v>106</v>
      </c>
      <c r="C53" s="53" t="s">
        <v>168</v>
      </c>
    </row>
    <row r="54" spans="1:3" s="35" customFormat="1" ht="15" thickBot="1" x14ac:dyDescent="0.35">
      <c r="A54" s="32"/>
      <c r="B54" s="33"/>
      <c r="C54" s="33"/>
    </row>
    <row r="55" spans="1:3" ht="15" thickBot="1" x14ac:dyDescent="0.35">
      <c r="A55" s="164" t="s">
        <v>59</v>
      </c>
      <c r="B55" s="165"/>
    </row>
    <row r="56" spans="1:3" ht="15" thickBot="1" x14ac:dyDescent="0.35">
      <c r="A56" s="15" t="s">
        <v>60</v>
      </c>
      <c r="B56" s="16" t="s">
        <v>61</v>
      </c>
    </row>
    <row r="57" spans="1:3" x14ac:dyDescent="0.3">
      <c r="A57" s="17" t="s">
        <v>62</v>
      </c>
      <c r="B57" s="54" t="s">
        <v>278</v>
      </c>
    </row>
    <row r="58" spans="1:3" x14ac:dyDescent="0.3">
      <c r="A58" s="17" t="s">
        <v>97</v>
      </c>
      <c r="B58" s="55" t="s">
        <v>278</v>
      </c>
    </row>
    <row r="59" spans="1:3" x14ac:dyDescent="0.3">
      <c r="A59" s="17" t="s">
        <v>63</v>
      </c>
      <c r="B59" s="55" t="s">
        <v>278</v>
      </c>
    </row>
    <row r="60" spans="1:3" x14ac:dyDescent="0.3">
      <c r="A60" s="17" t="s">
        <v>96</v>
      </c>
      <c r="B60" s="55" t="s">
        <v>279</v>
      </c>
    </row>
    <row r="61" spans="1:3" x14ac:dyDescent="0.3">
      <c r="A61" s="17" t="s">
        <v>64</v>
      </c>
      <c r="B61" s="55" t="s">
        <v>282</v>
      </c>
    </row>
    <row r="62" spans="1:3" x14ac:dyDescent="0.3">
      <c r="A62" s="17" t="s">
        <v>65</v>
      </c>
      <c r="B62" s="55" t="s">
        <v>280</v>
      </c>
    </row>
    <row r="63" spans="1:3" x14ac:dyDescent="0.3">
      <c r="A63" s="18" t="s">
        <v>66</v>
      </c>
      <c r="B63" s="22" t="s">
        <v>281</v>
      </c>
    </row>
    <row r="64" spans="1:3" x14ac:dyDescent="0.3">
      <c r="A64" s="19"/>
      <c r="B64" s="21"/>
    </row>
    <row r="65" spans="1:2" ht="15" thickBot="1" x14ac:dyDescent="0.35">
      <c r="A65" s="20"/>
      <c r="B65" s="56" t="s">
        <v>176</v>
      </c>
    </row>
    <row r="66" spans="1:2" ht="15" thickBot="1" x14ac:dyDescent="0.35">
      <c r="A66" s="159" t="s">
        <v>67</v>
      </c>
      <c r="B66" s="160"/>
    </row>
    <row r="67" spans="1:2" ht="15" thickBot="1" x14ac:dyDescent="0.35">
      <c r="A67" s="15" t="s">
        <v>68</v>
      </c>
      <c r="B67" s="16" t="s">
        <v>69</v>
      </c>
    </row>
    <row r="68" spans="1:2" ht="59.25" customHeight="1" x14ac:dyDescent="0.3">
      <c r="A68" s="156" t="s">
        <v>70</v>
      </c>
      <c r="B68" s="150" t="s">
        <v>71</v>
      </c>
    </row>
    <row r="69" spans="1:2" ht="15" thickBot="1" x14ac:dyDescent="0.35">
      <c r="A69" s="158"/>
      <c r="B69" s="152"/>
    </row>
    <row r="70" spans="1:2" ht="16.8" customHeight="1" x14ac:dyDescent="0.3">
      <c r="A70" s="147" t="s">
        <v>72</v>
      </c>
      <c r="B70" s="150" t="s">
        <v>171</v>
      </c>
    </row>
    <row r="71" spans="1:2" ht="17.399999999999999" customHeight="1" x14ac:dyDescent="0.3">
      <c r="A71" s="148"/>
      <c r="B71" s="151"/>
    </row>
    <row r="72" spans="1:2" ht="16.8" customHeight="1" x14ac:dyDescent="0.3">
      <c r="A72" s="148"/>
      <c r="B72" s="151"/>
    </row>
    <row r="73" spans="1:2" ht="18" customHeight="1" thickBot="1" x14ac:dyDescent="0.35">
      <c r="A73" s="149"/>
      <c r="B73" s="152"/>
    </row>
    <row r="74" spans="1:2" ht="14.4" customHeight="1" x14ac:dyDescent="0.3">
      <c r="A74" s="147" t="s">
        <v>73</v>
      </c>
      <c r="B74" s="150" t="s">
        <v>172</v>
      </c>
    </row>
    <row r="75" spans="1:2" x14ac:dyDescent="0.3">
      <c r="A75" s="148"/>
      <c r="B75" s="151"/>
    </row>
    <row r="76" spans="1:2" x14ac:dyDescent="0.3">
      <c r="A76" s="148"/>
      <c r="B76" s="151"/>
    </row>
    <row r="77" spans="1:2" x14ac:dyDescent="0.3">
      <c r="A77" s="148"/>
      <c r="B77" s="151"/>
    </row>
    <row r="78" spans="1:2" x14ac:dyDescent="0.3">
      <c r="A78" s="148"/>
      <c r="B78" s="151"/>
    </row>
    <row r="79" spans="1:2" ht="15" thickBot="1" x14ac:dyDescent="0.35">
      <c r="A79" s="149"/>
      <c r="B79" s="152"/>
    </row>
    <row r="80" spans="1:2" ht="58.2" thickBot="1" x14ac:dyDescent="0.35">
      <c r="A80" s="23" t="s">
        <v>74</v>
      </c>
      <c r="B80" s="14" t="s">
        <v>173</v>
      </c>
    </row>
    <row r="81" spans="1:2" ht="18" customHeight="1" x14ac:dyDescent="0.3">
      <c r="A81" s="153" t="s">
        <v>75</v>
      </c>
      <c r="B81" s="150" t="s">
        <v>174</v>
      </c>
    </row>
    <row r="82" spans="1:2" ht="16.8" customHeight="1" x14ac:dyDescent="0.3">
      <c r="A82" s="154"/>
      <c r="B82" s="151"/>
    </row>
    <row r="83" spans="1:2" ht="16.8" customHeight="1" x14ac:dyDescent="0.3">
      <c r="A83" s="154"/>
      <c r="B83" s="151"/>
    </row>
    <row r="84" spans="1:2" ht="16.8" customHeight="1" x14ac:dyDescent="0.3">
      <c r="A84" s="154"/>
      <c r="B84" s="151"/>
    </row>
    <row r="85" spans="1:2" ht="16.8" customHeight="1" thickBot="1" x14ac:dyDescent="0.35">
      <c r="A85" s="155"/>
      <c r="B85" s="152"/>
    </row>
    <row r="86" spans="1:2" x14ac:dyDescent="0.3">
      <c r="A86" s="156" t="s">
        <v>76</v>
      </c>
      <c r="B86" s="150" t="s">
        <v>175</v>
      </c>
    </row>
    <row r="87" spans="1:2" x14ac:dyDescent="0.3">
      <c r="A87" s="157"/>
      <c r="B87" s="151"/>
    </row>
    <row r="88" spans="1:2" x14ac:dyDescent="0.3">
      <c r="A88" s="157"/>
      <c r="B88" s="151"/>
    </row>
    <row r="89" spans="1:2" ht="15" thickBot="1" x14ac:dyDescent="0.35">
      <c r="A89" s="158"/>
      <c r="B89" s="152"/>
    </row>
    <row r="90" spans="1:2" ht="15" thickBot="1" x14ac:dyDescent="0.35"/>
    <row r="91" spans="1:2" ht="30.75" customHeight="1" thickBot="1" x14ac:dyDescent="0.35">
      <c r="A91" s="143" t="s">
        <v>77</v>
      </c>
      <c r="B91" s="144"/>
    </row>
    <row r="92" spans="1:2" x14ac:dyDescent="0.3">
      <c r="A92" s="145" t="s">
        <v>78</v>
      </c>
      <c r="B92" s="146"/>
    </row>
    <row r="93" spans="1:2" x14ac:dyDescent="0.3">
      <c r="A93" s="137" t="s">
        <v>79</v>
      </c>
      <c r="B93" s="138"/>
    </row>
    <row r="94" spans="1:2" x14ac:dyDescent="0.3">
      <c r="A94" s="137" t="s">
        <v>80</v>
      </c>
      <c r="B94" s="138"/>
    </row>
    <row r="95" spans="1:2" ht="21" customHeight="1" x14ac:dyDescent="0.3">
      <c r="A95" s="137" t="s">
        <v>81</v>
      </c>
      <c r="B95" s="138"/>
    </row>
    <row r="96" spans="1:2" x14ac:dyDescent="0.3">
      <c r="A96" s="137" t="s">
        <v>82</v>
      </c>
      <c r="B96" s="138"/>
    </row>
    <row r="97" spans="1:2" ht="21" customHeight="1" thickBot="1" x14ac:dyDescent="0.35">
      <c r="A97" s="139" t="s">
        <v>83</v>
      </c>
      <c r="B97" s="140"/>
    </row>
  </sheetData>
  <mergeCells count="30">
    <mergeCell ref="A20:C20"/>
    <mergeCell ref="A6:B8"/>
    <mergeCell ref="A10:B12"/>
    <mergeCell ref="A5:B5"/>
    <mergeCell ref="A9:B9"/>
    <mergeCell ref="A14:C14"/>
    <mergeCell ref="A27:C27"/>
    <mergeCell ref="A34:C34"/>
    <mergeCell ref="B68:B69"/>
    <mergeCell ref="A70:A73"/>
    <mergeCell ref="B70:B73"/>
    <mergeCell ref="A41:C41"/>
    <mergeCell ref="A48:C48"/>
    <mergeCell ref="A55:B55"/>
    <mergeCell ref="A96:B96"/>
    <mergeCell ref="A97:B97"/>
    <mergeCell ref="A2:C2"/>
    <mergeCell ref="A91:B91"/>
    <mergeCell ref="A92:B92"/>
    <mergeCell ref="A93:B93"/>
    <mergeCell ref="A94:B94"/>
    <mergeCell ref="A95:B95"/>
    <mergeCell ref="A74:A79"/>
    <mergeCell ref="B74:B79"/>
    <mergeCell ref="A81:A85"/>
    <mergeCell ref="B81:B85"/>
    <mergeCell ref="A86:A89"/>
    <mergeCell ref="B86:B89"/>
    <mergeCell ref="A66:B66"/>
    <mergeCell ref="A68:A69"/>
  </mergeCells>
  <pageMargins left="0.70866141732283472" right="0.70866141732283472" top="0.74803149606299213" bottom="0.74803149606299213" header="0.31496062992125984" footer="0.31496062992125984"/>
  <pageSetup paperSize="9" scale="8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6"/>
  <sheetViews>
    <sheetView tabSelected="1" zoomScale="80" zoomScaleNormal="80" workbookViewId="0">
      <selection activeCell="D354" sqref="D354"/>
    </sheetView>
  </sheetViews>
  <sheetFormatPr baseColWidth="10" defaultRowHeight="14.4" x14ac:dyDescent="0.3"/>
  <cols>
    <col min="1" max="1" width="28.33203125" customWidth="1"/>
    <col min="2" max="2" width="17.88671875" customWidth="1"/>
    <col min="3" max="3" width="20.6640625" customWidth="1"/>
    <col min="4" max="4" width="20.33203125" customWidth="1"/>
    <col min="5" max="10" width="17.5546875" customWidth="1"/>
    <col min="11" max="11" width="17.44140625" customWidth="1"/>
    <col min="12" max="12" width="15.109375" customWidth="1"/>
  </cols>
  <sheetData>
    <row r="1" spans="1:12" ht="15" thickBot="1" x14ac:dyDescent="0.35"/>
    <row r="2" spans="1:12" x14ac:dyDescent="0.3">
      <c r="A2" s="119" t="s">
        <v>7</v>
      </c>
      <c r="B2" s="120"/>
      <c r="C2" s="121" t="s">
        <v>178</v>
      </c>
      <c r="D2" s="120"/>
    </row>
    <row r="3" spans="1:12" ht="24.6" customHeight="1" x14ac:dyDescent="0.3">
      <c r="A3" s="122" t="s">
        <v>16</v>
      </c>
      <c r="B3" s="123"/>
      <c r="C3" s="124" t="s">
        <v>177</v>
      </c>
      <c r="D3" s="125"/>
    </row>
    <row r="4" spans="1:12" ht="14.4" customHeight="1" x14ac:dyDescent="0.3">
      <c r="A4" s="126" t="s">
        <v>12</v>
      </c>
      <c r="B4" s="127"/>
      <c r="C4" s="128" t="s">
        <v>184</v>
      </c>
      <c r="D4" s="129"/>
    </row>
    <row r="5" spans="1:12" ht="14.4" customHeight="1" x14ac:dyDescent="0.3">
      <c r="A5" s="122" t="s">
        <v>13</v>
      </c>
      <c r="B5" s="123"/>
      <c r="C5" s="130" t="s">
        <v>185</v>
      </c>
      <c r="D5" s="131"/>
    </row>
    <row r="6" spans="1:12" ht="15" thickBot="1" x14ac:dyDescent="0.35">
      <c r="A6" s="132" t="s">
        <v>14</v>
      </c>
      <c r="B6" s="133"/>
      <c r="C6" s="134" t="s">
        <v>15</v>
      </c>
      <c r="D6" s="135"/>
    </row>
    <row r="9" spans="1:12" x14ac:dyDescent="0.3">
      <c r="A9" s="118" t="s">
        <v>31</v>
      </c>
      <c r="B9" s="118" t="s">
        <v>234</v>
      </c>
      <c r="C9" s="118"/>
      <c r="D9" s="118"/>
      <c r="E9" s="93"/>
      <c r="F9" s="93"/>
      <c r="G9" s="93"/>
      <c r="H9" s="93"/>
      <c r="I9" s="93"/>
      <c r="J9" s="93"/>
      <c r="K9" s="93"/>
      <c r="L9" s="93"/>
    </row>
    <row r="10" spans="1:12" x14ac:dyDescent="0.3">
      <c r="A10" s="118"/>
      <c r="B10" s="118"/>
      <c r="C10" s="118"/>
      <c r="D10" s="118"/>
      <c r="E10" s="93"/>
      <c r="F10" s="93"/>
      <c r="G10" s="93"/>
      <c r="H10" s="93"/>
      <c r="I10" s="93"/>
      <c r="J10" s="93"/>
      <c r="K10" s="93"/>
      <c r="L10" s="93"/>
    </row>
    <row r="11" spans="1:12" x14ac:dyDescent="0.3">
      <c r="A11" s="116" t="s">
        <v>30</v>
      </c>
      <c r="B11" s="116"/>
      <c r="C11" s="116"/>
      <c r="D11" s="116"/>
      <c r="E11" s="116"/>
      <c r="F11" s="116"/>
      <c r="G11" s="116"/>
      <c r="H11" s="116"/>
      <c r="I11" s="116"/>
      <c r="J11" s="116"/>
      <c r="K11" s="116"/>
      <c r="L11" s="116"/>
    </row>
    <row r="12" spans="1:12" ht="39.6" x14ac:dyDescent="0.3">
      <c r="A12" s="94"/>
      <c r="B12" s="77" t="s">
        <v>23</v>
      </c>
      <c r="C12" s="77" t="s">
        <v>24</v>
      </c>
      <c r="D12" s="77" t="s">
        <v>25</v>
      </c>
      <c r="E12" s="77" t="s">
        <v>130</v>
      </c>
      <c r="F12" s="77" t="s">
        <v>131</v>
      </c>
      <c r="G12" s="77" t="s">
        <v>26</v>
      </c>
      <c r="H12" s="77" t="s">
        <v>27</v>
      </c>
      <c r="I12" s="77" t="s">
        <v>145</v>
      </c>
      <c r="J12" s="77" t="s">
        <v>147</v>
      </c>
      <c r="K12" s="77" t="s">
        <v>21</v>
      </c>
      <c r="L12" s="77" t="s">
        <v>22</v>
      </c>
    </row>
    <row r="13" spans="1:12" x14ac:dyDescent="0.3">
      <c r="A13" s="78" t="s">
        <v>23</v>
      </c>
      <c r="B13" s="79"/>
      <c r="C13" s="80">
        <v>5</v>
      </c>
      <c r="D13" s="81">
        <v>5</v>
      </c>
      <c r="E13" s="82">
        <v>10</v>
      </c>
      <c r="F13" s="83">
        <v>1</v>
      </c>
      <c r="G13" s="84">
        <v>5</v>
      </c>
      <c r="H13" s="84">
        <v>1</v>
      </c>
      <c r="I13" s="84">
        <v>10</v>
      </c>
      <c r="J13" s="85">
        <v>5</v>
      </c>
      <c r="K13" s="86">
        <f>SUM(B13:J13)</f>
        <v>42</v>
      </c>
      <c r="L13" s="95">
        <f>K13/$K$22</f>
        <v>0.22751895991332613</v>
      </c>
    </row>
    <row r="14" spans="1:12" x14ac:dyDescent="0.3">
      <c r="A14" s="78" t="s">
        <v>24</v>
      </c>
      <c r="B14" s="80">
        <v>0.2</v>
      </c>
      <c r="C14" s="79"/>
      <c r="D14" s="87">
        <v>1</v>
      </c>
      <c r="E14" s="87">
        <v>5</v>
      </c>
      <c r="F14" s="87">
        <v>0.2</v>
      </c>
      <c r="G14" s="87">
        <v>1</v>
      </c>
      <c r="H14" s="87">
        <v>0.2</v>
      </c>
      <c r="I14" s="87">
        <v>5</v>
      </c>
      <c r="J14" s="87">
        <v>1</v>
      </c>
      <c r="K14" s="86">
        <f t="shared" ref="K14:K21" si="0">SUM(B14:J14)</f>
        <v>13.600000000000001</v>
      </c>
      <c r="L14" s="95">
        <f t="shared" ref="L14:L21" si="1">K14/$K$22</f>
        <v>7.3672806067172275E-2</v>
      </c>
    </row>
    <row r="15" spans="1:12" x14ac:dyDescent="0.3">
      <c r="A15" s="78" t="s">
        <v>25</v>
      </c>
      <c r="B15" s="81">
        <v>0.2</v>
      </c>
      <c r="C15" s="87">
        <v>1</v>
      </c>
      <c r="D15" s="79"/>
      <c r="E15" s="87">
        <v>5</v>
      </c>
      <c r="F15" s="87">
        <v>0.2</v>
      </c>
      <c r="G15" s="87">
        <v>1</v>
      </c>
      <c r="H15" s="87">
        <v>0.2</v>
      </c>
      <c r="I15" s="87">
        <v>5</v>
      </c>
      <c r="J15" s="87">
        <v>1</v>
      </c>
      <c r="K15" s="86">
        <f t="shared" si="0"/>
        <v>13.600000000000001</v>
      </c>
      <c r="L15" s="95">
        <f t="shared" si="1"/>
        <v>7.3672806067172275E-2</v>
      </c>
    </row>
    <row r="16" spans="1:12" x14ac:dyDescent="0.3">
      <c r="A16" s="78" t="s">
        <v>130</v>
      </c>
      <c r="B16" s="82">
        <v>0.1</v>
      </c>
      <c r="C16" s="87">
        <v>0.2</v>
      </c>
      <c r="D16" s="87">
        <v>0.2</v>
      </c>
      <c r="E16" s="79"/>
      <c r="F16" s="87">
        <v>0.1</v>
      </c>
      <c r="G16" s="87">
        <v>0.2</v>
      </c>
      <c r="H16" s="87">
        <v>0.1</v>
      </c>
      <c r="I16" s="87">
        <v>1</v>
      </c>
      <c r="J16" s="88">
        <v>0.2</v>
      </c>
      <c r="K16" s="86">
        <f t="shared" si="0"/>
        <v>2.1</v>
      </c>
      <c r="L16" s="95">
        <f t="shared" si="1"/>
        <v>1.1375947995666307E-2</v>
      </c>
    </row>
    <row r="17" spans="1:12" x14ac:dyDescent="0.3">
      <c r="A17" s="78" t="s">
        <v>131</v>
      </c>
      <c r="B17" s="83">
        <v>1</v>
      </c>
      <c r="C17" s="89">
        <v>5</v>
      </c>
      <c r="D17" s="87">
        <v>5</v>
      </c>
      <c r="E17" s="87">
        <v>10</v>
      </c>
      <c r="F17" s="79"/>
      <c r="G17" s="87">
        <v>5</v>
      </c>
      <c r="H17" s="87">
        <v>1</v>
      </c>
      <c r="I17" s="87">
        <v>10</v>
      </c>
      <c r="J17" s="88">
        <v>5</v>
      </c>
      <c r="K17" s="86">
        <f t="shared" si="0"/>
        <v>42</v>
      </c>
      <c r="L17" s="95">
        <f t="shared" si="1"/>
        <v>0.22751895991332613</v>
      </c>
    </row>
    <row r="18" spans="1:12" x14ac:dyDescent="0.3">
      <c r="A18" s="78" t="s">
        <v>26</v>
      </c>
      <c r="B18" s="84">
        <v>0.2</v>
      </c>
      <c r="C18" s="87">
        <v>1</v>
      </c>
      <c r="D18" s="87">
        <v>1</v>
      </c>
      <c r="E18" s="87">
        <v>5</v>
      </c>
      <c r="F18" s="87">
        <v>0.2</v>
      </c>
      <c r="G18" s="79"/>
      <c r="H18" s="88">
        <v>0.2</v>
      </c>
      <c r="I18" s="88">
        <v>5</v>
      </c>
      <c r="J18" s="88">
        <v>1</v>
      </c>
      <c r="K18" s="86">
        <f t="shared" si="0"/>
        <v>13.600000000000001</v>
      </c>
      <c r="L18" s="95">
        <f t="shared" si="1"/>
        <v>7.3672806067172275E-2</v>
      </c>
    </row>
    <row r="19" spans="1:12" x14ac:dyDescent="0.3">
      <c r="A19" s="78" t="s">
        <v>27</v>
      </c>
      <c r="B19" s="84">
        <v>1</v>
      </c>
      <c r="C19" s="87">
        <v>5</v>
      </c>
      <c r="D19" s="87">
        <v>5</v>
      </c>
      <c r="E19" s="87">
        <v>10</v>
      </c>
      <c r="F19" s="87">
        <v>1</v>
      </c>
      <c r="G19" s="88">
        <v>5</v>
      </c>
      <c r="H19" s="79"/>
      <c r="I19" s="88">
        <v>10</v>
      </c>
      <c r="J19" s="88">
        <v>5</v>
      </c>
      <c r="K19" s="86">
        <f t="shared" si="0"/>
        <v>42</v>
      </c>
      <c r="L19" s="95">
        <f t="shared" si="1"/>
        <v>0.22751895991332613</v>
      </c>
    </row>
    <row r="20" spans="1:12" x14ac:dyDescent="0.3">
      <c r="A20" s="78" t="s">
        <v>145</v>
      </c>
      <c r="B20" s="84">
        <v>0.1</v>
      </c>
      <c r="C20" s="87">
        <v>0.2</v>
      </c>
      <c r="D20" s="87">
        <v>0.2</v>
      </c>
      <c r="E20" s="87">
        <v>1</v>
      </c>
      <c r="F20" s="87">
        <v>0.1</v>
      </c>
      <c r="G20" s="88">
        <v>0.2</v>
      </c>
      <c r="H20" s="88">
        <v>0.1</v>
      </c>
      <c r="I20" s="79"/>
      <c r="J20" s="88">
        <v>0.2</v>
      </c>
      <c r="K20" s="86">
        <f t="shared" si="0"/>
        <v>2.1</v>
      </c>
      <c r="L20" s="95">
        <f t="shared" si="1"/>
        <v>1.1375947995666307E-2</v>
      </c>
    </row>
    <row r="21" spans="1:12" x14ac:dyDescent="0.3">
      <c r="A21" s="78" t="s">
        <v>147</v>
      </c>
      <c r="B21" s="90">
        <v>0.2</v>
      </c>
      <c r="C21" s="89">
        <v>1</v>
      </c>
      <c r="D21" s="87">
        <v>1</v>
      </c>
      <c r="E21" s="88">
        <v>5</v>
      </c>
      <c r="F21" s="88">
        <v>0.2</v>
      </c>
      <c r="G21" s="88">
        <v>1</v>
      </c>
      <c r="H21" s="88">
        <v>0.2</v>
      </c>
      <c r="I21" s="88">
        <v>5</v>
      </c>
      <c r="J21" s="79"/>
      <c r="K21" s="86">
        <f t="shared" si="0"/>
        <v>13.6</v>
      </c>
      <c r="L21" s="95">
        <f t="shared" si="1"/>
        <v>7.3672806067172261E-2</v>
      </c>
    </row>
    <row r="22" spans="1:12" x14ac:dyDescent="0.3">
      <c r="A22" s="101" t="s">
        <v>21</v>
      </c>
      <c r="B22" s="117"/>
      <c r="C22" s="117"/>
      <c r="D22" s="117"/>
      <c r="E22" s="117"/>
      <c r="F22" s="117"/>
      <c r="G22" s="117"/>
      <c r="H22" s="117"/>
      <c r="I22" s="117"/>
      <c r="J22" s="117"/>
      <c r="K22" s="86">
        <f>SUM(K13:K21)</f>
        <v>184.6</v>
      </c>
      <c r="L22" s="95">
        <f>SUM(L13:L21)</f>
        <v>1.0000000000000002</v>
      </c>
    </row>
    <row r="25" spans="1:12" x14ac:dyDescent="0.3">
      <c r="A25" s="118" t="s">
        <v>31</v>
      </c>
      <c r="B25" s="118" t="s">
        <v>235</v>
      </c>
      <c r="C25" s="118"/>
      <c r="D25" s="118"/>
      <c r="E25" s="93"/>
      <c r="F25" s="93"/>
      <c r="G25" s="93"/>
      <c r="H25" s="93"/>
      <c r="I25" s="93"/>
      <c r="J25" s="93"/>
      <c r="K25" s="93"/>
      <c r="L25" s="93"/>
    </row>
    <row r="26" spans="1:12" x14ac:dyDescent="0.3">
      <c r="A26" s="118"/>
      <c r="B26" s="118"/>
      <c r="C26" s="118"/>
      <c r="D26" s="118"/>
      <c r="E26" s="93"/>
      <c r="F26" s="93"/>
      <c r="G26" s="93"/>
      <c r="H26" s="93"/>
      <c r="I26" s="93"/>
      <c r="J26" s="93"/>
      <c r="K26" s="93"/>
      <c r="L26" s="93"/>
    </row>
    <row r="27" spans="1:12" x14ac:dyDescent="0.3">
      <c r="A27" s="116" t="s">
        <v>30</v>
      </c>
      <c r="B27" s="116"/>
      <c r="C27" s="116"/>
      <c r="D27" s="116"/>
      <c r="E27" s="116"/>
      <c r="F27" s="116"/>
      <c r="G27" s="116"/>
      <c r="H27" s="116"/>
      <c r="I27" s="116"/>
      <c r="J27" s="116"/>
      <c r="K27" s="116"/>
      <c r="L27" s="116"/>
    </row>
    <row r="28" spans="1:12" ht="39.6" x14ac:dyDescent="0.3">
      <c r="A28" s="94"/>
      <c r="B28" s="77" t="s">
        <v>23</v>
      </c>
      <c r="C28" s="77" t="s">
        <v>24</v>
      </c>
      <c r="D28" s="77" t="s">
        <v>25</v>
      </c>
      <c r="E28" s="77" t="s">
        <v>130</v>
      </c>
      <c r="F28" s="77" t="s">
        <v>131</v>
      </c>
      <c r="G28" s="77" t="s">
        <v>26</v>
      </c>
      <c r="H28" s="77" t="s">
        <v>27</v>
      </c>
      <c r="I28" s="77" t="s">
        <v>145</v>
      </c>
      <c r="J28" s="77" t="s">
        <v>147</v>
      </c>
      <c r="K28" s="77" t="s">
        <v>21</v>
      </c>
      <c r="L28" s="77" t="s">
        <v>22</v>
      </c>
    </row>
    <row r="29" spans="1:12" x14ac:dyDescent="0.3">
      <c r="A29" s="78" t="s">
        <v>23</v>
      </c>
      <c r="B29" s="79"/>
      <c r="C29" s="87">
        <v>5</v>
      </c>
      <c r="D29" s="87">
        <v>1</v>
      </c>
      <c r="E29" s="87">
        <v>5</v>
      </c>
      <c r="F29" s="87">
        <v>1</v>
      </c>
      <c r="G29" s="87">
        <v>1</v>
      </c>
      <c r="H29" s="87">
        <v>1</v>
      </c>
      <c r="I29" s="87">
        <v>10</v>
      </c>
      <c r="J29" s="87">
        <v>5</v>
      </c>
      <c r="K29" s="86">
        <f>SUM(B29:J29)</f>
        <v>29</v>
      </c>
      <c r="L29" s="95">
        <f>K29/$K$38</f>
        <v>0.17048794826572605</v>
      </c>
    </row>
    <row r="30" spans="1:12" x14ac:dyDescent="0.3">
      <c r="A30" s="78" t="s">
        <v>24</v>
      </c>
      <c r="B30" s="87">
        <v>0.2</v>
      </c>
      <c r="C30" s="79"/>
      <c r="D30" s="87">
        <v>0.2</v>
      </c>
      <c r="E30" s="87">
        <v>1</v>
      </c>
      <c r="F30" s="87">
        <v>0.2</v>
      </c>
      <c r="G30" s="87">
        <v>0.2</v>
      </c>
      <c r="H30" s="87">
        <v>0.2</v>
      </c>
      <c r="I30" s="87">
        <v>5</v>
      </c>
      <c r="J30" s="87">
        <v>1</v>
      </c>
      <c r="K30" s="86">
        <f t="shared" ref="K30:K37" si="2">SUM(B30:J30)</f>
        <v>8</v>
      </c>
      <c r="L30" s="95">
        <f t="shared" ref="L30:L37" si="3">K30/$K$38</f>
        <v>4.7031158142269255E-2</v>
      </c>
    </row>
    <row r="31" spans="1:12" x14ac:dyDescent="0.3">
      <c r="A31" s="78" t="s">
        <v>25</v>
      </c>
      <c r="B31" s="87">
        <v>1</v>
      </c>
      <c r="C31" s="87">
        <v>5</v>
      </c>
      <c r="D31" s="79"/>
      <c r="E31" s="87">
        <v>5</v>
      </c>
      <c r="F31" s="87">
        <v>1</v>
      </c>
      <c r="G31" s="87">
        <v>1</v>
      </c>
      <c r="H31" s="87">
        <v>1</v>
      </c>
      <c r="I31" s="87">
        <v>10</v>
      </c>
      <c r="J31" s="87">
        <v>5</v>
      </c>
      <c r="K31" s="86">
        <f t="shared" si="2"/>
        <v>29</v>
      </c>
      <c r="L31" s="95">
        <f t="shared" si="3"/>
        <v>0.17048794826572605</v>
      </c>
    </row>
    <row r="32" spans="1:12" x14ac:dyDescent="0.3">
      <c r="A32" s="78" t="s">
        <v>130</v>
      </c>
      <c r="B32" s="87">
        <v>0.2</v>
      </c>
      <c r="C32" s="87">
        <v>1</v>
      </c>
      <c r="D32" s="87">
        <v>0.2</v>
      </c>
      <c r="E32" s="79"/>
      <c r="F32" s="88">
        <v>0.2</v>
      </c>
      <c r="G32" s="88">
        <v>0.2</v>
      </c>
      <c r="H32" s="88">
        <v>0.2</v>
      </c>
      <c r="I32" s="88">
        <v>5</v>
      </c>
      <c r="J32" s="88">
        <v>1</v>
      </c>
      <c r="K32" s="86">
        <f t="shared" si="2"/>
        <v>8</v>
      </c>
      <c r="L32" s="95">
        <f t="shared" si="3"/>
        <v>4.7031158142269255E-2</v>
      </c>
    </row>
    <row r="33" spans="1:12" x14ac:dyDescent="0.3">
      <c r="A33" s="78" t="s">
        <v>131</v>
      </c>
      <c r="B33" s="87">
        <v>1</v>
      </c>
      <c r="C33" s="87">
        <v>5</v>
      </c>
      <c r="D33" s="87">
        <v>1</v>
      </c>
      <c r="E33" s="88">
        <v>5</v>
      </c>
      <c r="F33" s="79"/>
      <c r="G33" s="88">
        <v>1</v>
      </c>
      <c r="H33" s="88">
        <v>1</v>
      </c>
      <c r="I33" s="88">
        <v>10</v>
      </c>
      <c r="J33" s="88">
        <v>5</v>
      </c>
      <c r="K33" s="86">
        <f t="shared" si="2"/>
        <v>29</v>
      </c>
      <c r="L33" s="95">
        <f t="shared" si="3"/>
        <v>0.17048794826572605</v>
      </c>
    </row>
    <row r="34" spans="1:12" x14ac:dyDescent="0.3">
      <c r="A34" s="78" t="s">
        <v>26</v>
      </c>
      <c r="B34" s="87">
        <v>1</v>
      </c>
      <c r="C34" s="87">
        <v>5</v>
      </c>
      <c r="D34" s="87">
        <v>1</v>
      </c>
      <c r="E34" s="88">
        <v>5</v>
      </c>
      <c r="F34" s="88">
        <v>1</v>
      </c>
      <c r="G34" s="79"/>
      <c r="H34" s="88">
        <v>1</v>
      </c>
      <c r="I34" s="88">
        <v>10</v>
      </c>
      <c r="J34" s="88">
        <v>5</v>
      </c>
      <c r="K34" s="86">
        <f t="shared" si="2"/>
        <v>29</v>
      </c>
      <c r="L34" s="95">
        <f>K34/$K$38</f>
        <v>0.17048794826572605</v>
      </c>
    </row>
    <row r="35" spans="1:12" x14ac:dyDescent="0.3">
      <c r="A35" s="78" t="s">
        <v>27</v>
      </c>
      <c r="B35" s="87">
        <v>1</v>
      </c>
      <c r="C35" s="87">
        <v>5</v>
      </c>
      <c r="D35" s="87">
        <v>1</v>
      </c>
      <c r="E35" s="88">
        <v>5</v>
      </c>
      <c r="F35" s="88">
        <v>1</v>
      </c>
      <c r="G35" s="88">
        <v>1</v>
      </c>
      <c r="H35" s="79"/>
      <c r="I35" s="88">
        <v>10</v>
      </c>
      <c r="J35" s="88">
        <v>5</v>
      </c>
      <c r="K35" s="86">
        <f t="shared" si="2"/>
        <v>29</v>
      </c>
      <c r="L35" s="95">
        <f t="shared" si="3"/>
        <v>0.17048794826572605</v>
      </c>
    </row>
    <row r="36" spans="1:12" x14ac:dyDescent="0.3">
      <c r="A36" s="78" t="s">
        <v>145</v>
      </c>
      <c r="B36" s="87">
        <v>0.1</v>
      </c>
      <c r="C36" s="87">
        <v>0.2</v>
      </c>
      <c r="D36" s="87">
        <v>0.1</v>
      </c>
      <c r="E36" s="88">
        <v>0.2</v>
      </c>
      <c r="F36" s="88">
        <v>0.1</v>
      </c>
      <c r="G36" s="88">
        <v>0.1</v>
      </c>
      <c r="H36" s="88">
        <v>0.1</v>
      </c>
      <c r="I36" s="79"/>
      <c r="J36" s="88">
        <v>0.2</v>
      </c>
      <c r="K36" s="86">
        <f t="shared" si="2"/>
        <v>1.1000000000000001</v>
      </c>
      <c r="L36" s="95">
        <f t="shared" si="3"/>
        <v>6.4667842445620231E-3</v>
      </c>
    </row>
    <row r="37" spans="1:12" x14ac:dyDescent="0.3">
      <c r="A37" s="78" t="s">
        <v>147</v>
      </c>
      <c r="B37" s="87">
        <v>0.2</v>
      </c>
      <c r="C37" s="87">
        <v>1</v>
      </c>
      <c r="D37" s="87">
        <v>0.2</v>
      </c>
      <c r="E37" s="88">
        <v>1</v>
      </c>
      <c r="F37" s="88">
        <v>0.2</v>
      </c>
      <c r="G37" s="88">
        <v>0.2</v>
      </c>
      <c r="H37" s="88">
        <v>0.2</v>
      </c>
      <c r="I37" s="88">
        <v>5</v>
      </c>
      <c r="J37" s="79"/>
      <c r="K37" s="86">
        <f t="shared" si="2"/>
        <v>8</v>
      </c>
      <c r="L37" s="95">
        <f t="shared" si="3"/>
        <v>4.7031158142269255E-2</v>
      </c>
    </row>
    <row r="38" spans="1:12" x14ac:dyDescent="0.3">
      <c r="A38" s="101" t="s">
        <v>21</v>
      </c>
      <c r="B38" s="117"/>
      <c r="C38" s="117"/>
      <c r="D38" s="117"/>
      <c r="E38" s="117"/>
      <c r="F38" s="117"/>
      <c r="G38" s="117"/>
      <c r="H38" s="117"/>
      <c r="I38" s="117"/>
      <c r="J38" s="117"/>
      <c r="K38" s="87">
        <f>SUM(K29:K37)</f>
        <v>170.1</v>
      </c>
      <c r="L38" s="95">
        <f>SUM(L29:L37)</f>
        <v>0.99999999999999989</v>
      </c>
    </row>
    <row r="41" spans="1:12" x14ac:dyDescent="0.3">
      <c r="A41" s="104" t="s">
        <v>31</v>
      </c>
      <c r="B41" s="106" t="s">
        <v>236</v>
      </c>
      <c r="C41" s="107"/>
      <c r="D41" s="108"/>
      <c r="E41" s="93"/>
      <c r="F41" s="93"/>
      <c r="G41" s="93"/>
      <c r="H41" s="93"/>
      <c r="I41" s="93"/>
      <c r="J41" s="93"/>
      <c r="K41" s="93"/>
      <c r="L41" s="93"/>
    </row>
    <row r="42" spans="1:12" x14ac:dyDescent="0.3">
      <c r="A42" s="105"/>
      <c r="B42" s="109"/>
      <c r="C42" s="110"/>
      <c r="D42" s="111"/>
      <c r="E42" s="93"/>
      <c r="F42" s="93"/>
      <c r="G42" s="93"/>
      <c r="H42" s="93"/>
      <c r="I42" s="93"/>
      <c r="J42" s="93"/>
      <c r="K42" s="93"/>
      <c r="L42" s="93"/>
    </row>
    <row r="43" spans="1:12" x14ac:dyDescent="0.3">
      <c r="A43" s="112" t="s">
        <v>30</v>
      </c>
      <c r="B43" s="113"/>
      <c r="C43" s="113"/>
      <c r="D43" s="113"/>
      <c r="E43" s="113"/>
      <c r="F43" s="113"/>
      <c r="G43" s="113"/>
      <c r="H43" s="113"/>
      <c r="I43" s="113"/>
      <c r="J43" s="113"/>
      <c r="K43" s="113"/>
      <c r="L43" s="114"/>
    </row>
    <row r="44" spans="1:12" ht="39.6" x14ac:dyDescent="0.3">
      <c r="A44" s="94"/>
      <c r="B44" s="77" t="s">
        <v>23</v>
      </c>
      <c r="C44" s="77" t="s">
        <v>24</v>
      </c>
      <c r="D44" s="77" t="s">
        <v>25</v>
      </c>
      <c r="E44" s="77" t="s">
        <v>130</v>
      </c>
      <c r="F44" s="77" t="s">
        <v>131</v>
      </c>
      <c r="G44" s="77" t="s">
        <v>26</v>
      </c>
      <c r="H44" s="77" t="s">
        <v>27</v>
      </c>
      <c r="I44" s="77" t="s">
        <v>145</v>
      </c>
      <c r="J44" s="77" t="s">
        <v>147</v>
      </c>
      <c r="K44" s="77" t="s">
        <v>21</v>
      </c>
      <c r="L44" s="77" t="s">
        <v>22</v>
      </c>
    </row>
    <row r="45" spans="1:12" x14ac:dyDescent="0.3">
      <c r="A45" s="78" t="s">
        <v>23</v>
      </c>
      <c r="B45" s="79"/>
      <c r="C45" s="87">
        <v>5</v>
      </c>
      <c r="D45" s="87">
        <v>1</v>
      </c>
      <c r="E45" s="87">
        <v>5</v>
      </c>
      <c r="F45" s="87">
        <v>5</v>
      </c>
      <c r="G45" s="87">
        <v>1</v>
      </c>
      <c r="H45" s="87">
        <v>1</v>
      </c>
      <c r="I45" s="87">
        <v>10</v>
      </c>
      <c r="J45" s="87">
        <v>5</v>
      </c>
      <c r="K45" s="86">
        <f t="shared" ref="K45:K53" si="4">SUM(B45:J45)</f>
        <v>33</v>
      </c>
      <c r="L45" s="95">
        <f>K45/$K$54</f>
        <v>0.19596199524940619</v>
      </c>
    </row>
    <row r="46" spans="1:12" x14ac:dyDescent="0.3">
      <c r="A46" s="78" t="s">
        <v>24</v>
      </c>
      <c r="B46" s="87">
        <v>0.2</v>
      </c>
      <c r="C46" s="79"/>
      <c r="D46" s="87">
        <v>0.2</v>
      </c>
      <c r="E46" s="87">
        <v>1</v>
      </c>
      <c r="F46" s="87">
        <v>1</v>
      </c>
      <c r="G46" s="87">
        <v>0.2</v>
      </c>
      <c r="H46" s="87">
        <v>0.2</v>
      </c>
      <c r="I46" s="87">
        <v>5</v>
      </c>
      <c r="J46" s="87">
        <v>1</v>
      </c>
      <c r="K46" s="86">
        <f>SUM(B46:J46)</f>
        <v>8.8000000000000007</v>
      </c>
      <c r="L46" s="95">
        <f>K46/$K$54</f>
        <v>5.2256532066508328E-2</v>
      </c>
    </row>
    <row r="47" spans="1:12" x14ac:dyDescent="0.3">
      <c r="A47" s="78" t="s">
        <v>25</v>
      </c>
      <c r="B47" s="87">
        <v>1</v>
      </c>
      <c r="C47" s="87">
        <v>5</v>
      </c>
      <c r="D47" s="79"/>
      <c r="E47" s="87">
        <v>5</v>
      </c>
      <c r="F47" s="87">
        <v>5</v>
      </c>
      <c r="G47" s="87">
        <v>1</v>
      </c>
      <c r="H47" s="87">
        <v>1</v>
      </c>
      <c r="I47" s="87">
        <v>10</v>
      </c>
      <c r="J47" s="87">
        <v>5</v>
      </c>
      <c r="K47" s="86">
        <f t="shared" si="4"/>
        <v>33</v>
      </c>
      <c r="L47" s="95">
        <f t="shared" ref="L47:L53" si="5">K47/$K$54</f>
        <v>0.19596199524940619</v>
      </c>
    </row>
    <row r="48" spans="1:12" x14ac:dyDescent="0.3">
      <c r="A48" s="78" t="s">
        <v>130</v>
      </c>
      <c r="B48" s="87">
        <v>0.2</v>
      </c>
      <c r="C48" s="87">
        <v>1</v>
      </c>
      <c r="D48" s="87">
        <v>0.2</v>
      </c>
      <c r="E48" s="79"/>
      <c r="F48" s="87">
        <v>1</v>
      </c>
      <c r="G48" s="88">
        <v>0.2</v>
      </c>
      <c r="H48" s="88">
        <v>0.2</v>
      </c>
      <c r="I48" s="88">
        <v>5</v>
      </c>
      <c r="J48" s="88">
        <v>1</v>
      </c>
      <c r="K48" s="86">
        <f t="shared" si="4"/>
        <v>8.8000000000000007</v>
      </c>
      <c r="L48" s="95">
        <f t="shared" si="5"/>
        <v>5.2256532066508328E-2</v>
      </c>
    </row>
    <row r="49" spans="1:12" x14ac:dyDescent="0.3">
      <c r="A49" s="78" t="s">
        <v>131</v>
      </c>
      <c r="B49" s="87">
        <v>0.2</v>
      </c>
      <c r="C49" s="87">
        <v>1</v>
      </c>
      <c r="D49" s="87">
        <v>0.2</v>
      </c>
      <c r="E49" s="87">
        <v>1</v>
      </c>
      <c r="F49" s="79"/>
      <c r="G49" s="88">
        <v>0.2</v>
      </c>
      <c r="H49" s="88">
        <v>0.2</v>
      </c>
      <c r="I49" s="88">
        <v>5</v>
      </c>
      <c r="J49" s="88">
        <v>1</v>
      </c>
      <c r="K49" s="86">
        <f t="shared" si="4"/>
        <v>8.8000000000000007</v>
      </c>
      <c r="L49" s="95">
        <f t="shared" si="5"/>
        <v>5.2256532066508328E-2</v>
      </c>
    </row>
    <row r="50" spans="1:12" x14ac:dyDescent="0.3">
      <c r="A50" s="78" t="s">
        <v>26</v>
      </c>
      <c r="B50" s="87">
        <v>1</v>
      </c>
      <c r="C50" s="87">
        <v>5</v>
      </c>
      <c r="D50" s="87">
        <v>1</v>
      </c>
      <c r="E50" s="88">
        <v>5</v>
      </c>
      <c r="F50" s="88">
        <v>5</v>
      </c>
      <c r="G50" s="79"/>
      <c r="H50" s="88">
        <v>1</v>
      </c>
      <c r="I50" s="88">
        <v>10</v>
      </c>
      <c r="J50" s="88">
        <v>5</v>
      </c>
      <c r="K50" s="86">
        <f t="shared" si="4"/>
        <v>33</v>
      </c>
      <c r="L50" s="95">
        <f t="shared" si="5"/>
        <v>0.19596199524940619</v>
      </c>
    </row>
    <row r="51" spans="1:12" x14ac:dyDescent="0.3">
      <c r="A51" s="78" t="s">
        <v>27</v>
      </c>
      <c r="B51" s="87">
        <v>1</v>
      </c>
      <c r="C51" s="87">
        <v>5</v>
      </c>
      <c r="D51" s="87">
        <v>1</v>
      </c>
      <c r="E51" s="88">
        <v>5</v>
      </c>
      <c r="F51" s="88">
        <v>5</v>
      </c>
      <c r="G51" s="88">
        <v>1</v>
      </c>
      <c r="H51" s="79"/>
      <c r="I51" s="88">
        <v>10</v>
      </c>
      <c r="J51" s="88">
        <v>5</v>
      </c>
      <c r="K51" s="86">
        <f t="shared" si="4"/>
        <v>33</v>
      </c>
      <c r="L51" s="95">
        <f t="shared" si="5"/>
        <v>0.19596199524940619</v>
      </c>
    </row>
    <row r="52" spans="1:12" x14ac:dyDescent="0.3">
      <c r="A52" s="78" t="s">
        <v>145</v>
      </c>
      <c r="B52" s="87">
        <v>0.1</v>
      </c>
      <c r="C52" s="87">
        <v>0.2</v>
      </c>
      <c r="D52" s="87">
        <v>0.1</v>
      </c>
      <c r="E52" s="88">
        <v>0.2</v>
      </c>
      <c r="F52" s="88">
        <v>0.2</v>
      </c>
      <c r="G52" s="88">
        <v>0.1</v>
      </c>
      <c r="H52" s="88">
        <v>0.1</v>
      </c>
      <c r="I52" s="79"/>
      <c r="J52" s="88">
        <v>0.2</v>
      </c>
      <c r="K52" s="86">
        <f t="shared" si="4"/>
        <v>1.2</v>
      </c>
      <c r="L52" s="95">
        <f t="shared" si="5"/>
        <v>7.1258907363420431E-3</v>
      </c>
    </row>
    <row r="53" spans="1:12" x14ac:dyDescent="0.3">
      <c r="A53" s="78" t="s">
        <v>147</v>
      </c>
      <c r="B53" s="87">
        <v>0.2</v>
      </c>
      <c r="C53" s="87">
        <v>1</v>
      </c>
      <c r="D53" s="87">
        <v>0.2</v>
      </c>
      <c r="E53" s="88">
        <v>1</v>
      </c>
      <c r="F53" s="88">
        <v>1</v>
      </c>
      <c r="G53" s="88">
        <v>0.2</v>
      </c>
      <c r="H53" s="88">
        <v>0.2</v>
      </c>
      <c r="I53" s="88">
        <v>5</v>
      </c>
      <c r="J53" s="79"/>
      <c r="K53" s="86">
        <f t="shared" si="4"/>
        <v>8.8000000000000007</v>
      </c>
      <c r="L53" s="95">
        <f t="shared" si="5"/>
        <v>5.2256532066508328E-2</v>
      </c>
    </row>
    <row r="54" spans="1:12" x14ac:dyDescent="0.3">
      <c r="A54" s="101" t="s">
        <v>21</v>
      </c>
      <c r="B54" s="117"/>
      <c r="C54" s="117"/>
      <c r="D54" s="117"/>
      <c r="E54" s="117"/>
      <c r="F54" s="117"/>
      <c r="G54" s="117"/>
      <c r="H54" s="117"/>
      <c r="I54" s="117"/>
      <c r="J54" s="136"/>
      <c r="K54" s="87">
        <f>SUM(K45:K53)</f>
        <v>168.39999999999998</v>
      </c>
      <c r="L54" s="95">
        <f>SUM(L45:L53)</f>
        <v>1</v>
      </c>
    </row>
    <row r="55" spans="1:12" x14ac:dyDescent="0.3">
      <c r="A55" s="38"/>
      <c r="B55" s="38"/>
      <c r="C55" s="38"/>
      <c r="D55" s="38"/>
      <c r="E55" s="38"/>
      <c r="F55" s="38"/>
      <c r="G55" s="38"/>
      <c r="H55" s="38"/>
      <c r="I55" s="38"/>
      <c r="J55" s="38"/>
      <c r="K55" s="38"/>
      <c r="L55" s="38"/>
    </row>
    <row r="56" spans="1:12" x14ac:dyDescent="0.3">
      <c r="A56" s="118" t="s">
        <v>31</v>
      </c>
      <c r="B56" s="118" t="s">
        <v>237</v>
      </c>
      <c r="C56" s="118"/>
      <c r="D56" s="118"/>
      <c r="E56" s="93"/>
      <c r="F56" s="93"/>
      <c r="G56" s="93"/>
      <c r="H56" s="93"/>
      <c r="I56" s="93"/>
      <c r="J56" s="93"/>
      <c r="K56" s="93"/>
      <c r="L56" s="93"/>
    </row>
    <row r="57" spans="1:12" x14ac:dyDescent="0.3">
      <c r="A57" s="104"/>
      <c r="B57" s="104"/>
      <c r="C57" s="104"/>
      <c r="D57" s="104"/>
      <c r="E57" s="93"/>
      <c r="F57" s="93"/>
      <c r="G57" s="40"/>
      <c r="H57" s="93"/>
      <c r="I57" s="93"/>
      <c r="J57" s="93"/>
      <c r="K57" s="93"/>
      <c r="L57" s="93"/>
    </row>
    <row r="58" spans="1:12" x14ac:dyDescent="0.3">
      <c r="A58" s="116" t="s">
        <v>30</v>
      </c>
      <c r="B58" s="116"/>
      <c r="C58" s="116"/>
      <c r="D58" s="116"/>
      <c r="E58" s="116"/>
      <c r="F58" s="116"/>
      <c r="G58" s="116"/>
      <c r="H58" s="116"/>
      <c r="I58" s="116"/>
      <c r="J58" s="116"/>
      <c r="K58" s="116"/>
      <c r="L58" s="116"/>
    </row>
    <row r="59" spans="1:12" ht="39.6" x14ac:dyDescent="0.3">
      <c r="A59" s="94"/>
      <c r="B59" s="77" t="s">
        <v>23</v>
      </c>
      <c r="C59" s="77" t="s">
        <v>24</v>
      </c>
      <c r="D59" s="77" t="s">
        <v>25</v>
      </c>
      <c r="E59" s="77" t="s">
        <v>130</v>
      </c>
      <c r="F59" s="77" t="s">
        <v>131</v>
      </c>
      <c r="G59" s="77" t="s">
        <v>26</v>
      </c>
      <c r="H59" s="77" t="s">
        <v>27</v>
      </c>
      <c r="I59" s="77" t="s">
        <v>145</v>
      </c>
      <c r="J59" s="77" t="s">
        <v>147</v>
      </c>
      <c r="K59" s="77" t="s">
        <v>21</v>
      </c>
      <c r="L59" s="77" t="s">
        <v>22</v>
      </c>
    </row>
    <row r="60" spans="1:12" x14ac:dyDescent="0.3">
      <c r="A60" s="78" t="s">
        <v>23</v>
      </c>
      <c r="B60" s="79"/>
      <c r="C60" s="87">
        <v>1</v>
      </c>
      <c r="D60" s="87">
        <v>1</v>
      </c>
      <c r="E60" s="87">
        <v>5</v>
      </c>
      <c r="F60" s="87">
        <v>1</v>
      </c>
      <c r="G60" s="87">
        <v>5</v>
      </c>
      <c r="H60" s="87">
        <v>1</v>
      </c>
      <c r="I60" s="87">
        <v>10</v>
      </c>
      <c r="J60" s="87">
        <v>1</v>
      </c>
      <c r="K60" s="86">
        <f t="shared" ref="K60:K67" si="6">SUM(B60:J60)</f>
        <v>25</v>
      </c>
      <c r="L60" s="95">
        <f t="shared" ref="L60:L68" si="7">K60/$K$69</f>
        <v>0.15114873035066506</v>
      </c>
    </row>
    <row r="61" spans="1:12" x14ac:dyDescent="0.3">
      <c r="A61" s="78" t="s">
        <v>24</v>
      </c>
      <c r="B61" s="87">
        <v>1</v>
      </c>
      <c r="C61" s="79"/>
      <c r="D61" s="87">
        <v>1</v>
      </c>
      <c r="E61" s="87">
        <v>5</v>
      </c>
      <c r="F61" s="87">
        <v>1</v>
      </c>
      <c r="G61" s="87">
        <v>5</v>
      </c>
      <c r="H61" s="87">
        <v>1</v>
      </c>
      <c r="I61" s="87">
        <v>10</v>
      </c>
      <c r="J61" s="87">
        <v>1</v>
      </c>
      <c r="K61" s="86">
        <f t="shared" si="6"/>
        <v>25</v>
      </c>
      <c r="L61" s="95">
        <f t="shared" si="7"/>
        <v>0.15114873035066506</v>
      </c>
    </row>
    <row r="62" spans="1:12" x14ac:dyDescent="0.3">
      <c r="A62" s="78" t="s">
        <v>25</v>
      </c>
      <c r="B62" s="87">
        <v>1</v>
      </c>
      <c r="C62" s="87">
        <v>1</v>
      </c>
      <c r="D62" s="79"/>
      <c r="E62" s="87">
        <v>5</v>
      </c>
      <c r="F62" s="88">
        <v>1</v>
      </c>
      <c r="G62" s="88">
        <v>5</v>
      </c>
      <c r="H62" s="88">
        <v>1</v>
      </c>
      <c r="I62" s="88">
        <v>10</v>
      </c>
      <c r="J62" s="88">
        <v>1</v>
      </c>
      <c r="K62" s="86">
        <f t="shared" si="6"/>
        <v>25</v>
      </c>
      <c r="L62" s="95">
        <f t="shared" si="7"/>
        <v>0.15114873035066506</v>
      </c>
    </row>
    <row r="63" spans="1:12" x14ac:dyDescent="0.3">
      <c r="A63" s="78" t="s">
        <v>130</v>
      </c>
      <c r="B63" s="87">
        <v>0.2</v>
      </c>
      <c r="C63" s="87">
        <v>0.2</v>
      </c>
      <c r="D63" s="87">
        <v>0.2</v>
      </c>
      <c r="E63" s="79"/>
      <c r="F63" s="87">
        <v>0.2</v>
      </c>
      <c r="G63" s="88">
        <v>1</v>
      </c>
      <c r="H63" s="88">
        <v>0.2</v>
      </c>
      <c r="I63" s="88">
        <v>5</v>
      </c>
      <c r="J63" s="88">
        <v>0.2</v>
      </c>
      <c r="K63" s="86">
        <f t="shared" si="6"/>
        <v>7.2</v>
      </c>
      <c r="L63" s="95">
        <f t="shared" si="7"/>
        <v>4.3530834340991538E-2</v>
      </c>
    </row>
    <row r="64" spans="1:12" x14ac:dyDescent="0.3">
      <c r="A64" s="78" t="s">
        <v>131</v>
      </c>
      <c r="B64" s="87">
        <v>1</v>
      </c>
      <c r="C64" s="87">
        <v>1</v>
      </c>
      <c r="D64" s="87">
        <v>1</v>
      </c>
      <c r="E64" s="88">
        <v>5</v>
      </c>
      <c r="F64" s="79"/>
      <c r="G64" s="87">
        <v>5</v>
      </c>
      <c r="H64" s="88">
        <v>1</v>
      </c>
      <c r="I64" s="88">
        <v>10</v>
      </c>
      <c r="J64" s="88">
        <v>1</v>
      </c>
      <c r="K64" s="86">
        <f t="shared" si="6"/>
        <v>25</v>
      </c>
      <c r="L64" s="95">
        <f t="shared" si="7"/>
        <v>0.15114873035066506</v>
      </c>
    </row>
    <row r="65" spans="1:12" x14ac:dyDescent="0.3">
      <c r="A65" s="78" t="s">
        <v>26</v>
      </c>
      <c r="B65" s="87">
        <v>0.2</v>
      </c>
      <c r="C65" s="87">
        <v>0.2</v>
      </c>
      <c r="D65" s="87">
        <v>0.2</v>
      </c>
      <c r="E65" s="88">
        <v>1</v>
      </c>
      <c r="F65" s="88">
        <v>0.2</v>
      </c>
      <c r="G65" s="79"/>
      <c r="H65" s="87">
        <v>0.2</v>
      </c>
      <c r="I65" s="88">
        <v>5</v>
      </c>
      <c r="J65" s="88">
        <v>0.2</v>
      </c>
      <c r="K65" s="86">
        <f t="shared" si="6"/>
        <v>7.2</v>
      </c>
      <c r="L65" s="95">
        <f t="shared" si="7"/>
        <v>4.3530834340991538E-2</v>
      </c>
    </row>
    <row r="66" spans="1:12" x14ac:dyDescent="0.3">
      <c r="A66" s="78" t="s">
        <v>27</v>
      </c>
      <c r="B66" s="87">
        <v>1</v>
      </c>
      <c r="C66" s="87">
        <v>1</v>
      </c>
      <c r="D66" s="87">
        <v>1</v>
      </c>
      <c r="E66" s="88">
        <v>5</v>
      </c>
      <c r="F66" s="88">
        <v>1</v>
      </c>
      <c r="G66" s="88">
        <v>5</v>
      </c>
      <c r="H66" s="79"/>
      <c r="I66" s="87">
        <v>10</v>
      </c>
      <c r="J66" s="88">
        <v>1</v>
      </c>
      <c r="K66" s="86">
        <f t="shared" si="6"/>
        <v>25</v>
      </c>
      <c r="L66" s="95">
        <f t="shared" si="7"/>
        <v>0.15114873035066506</v>
      </c>
    </row>
    <row r="67" spans="1:12" x14ac:dyDescent="0.3">
      <c r="A67" s="78" t="s">
        <v>145</v>
      </c>
      <c r="B67" s="87">
        <v>0.1</v>
      </c>
      <c r="C67" s="87">
        <v>0.1</v>
      </c>
      <c r="D67" s="87">
        <v>0.1</v>
      </c>
      <c r="E67" s="88">
        <v>0.2</v>
      </c>
      <c r="F67" s="88">
        <v>0.1</v>
      </c>
      <c r="G67" s="88">
        <v>0.2</v>
      </c>
      <c r="H67" s="88">
        <v>0.1</v>
      </c>
      <c r="I67" s="79"/>
      <c r="J67" s="87">
        <v>0.1</v>
      </c>
      <c r="K67" s="86">
        <f t="shared" si="6"/>
        <v>1</v>
      </c>
      <c r="L67" s="95">
        <f t="shared" si="7"/>
        <v>6.0459492140266021E-3</v>
      </c>
    </row>
    <row r="68" spans="1:12" x14ac:dyDescent="0.3">
      <c r="A68" s="97" t="s">
        <v>147</v>
      </c>
      <c r="B68" s="98">
        <v>1</v>
      </c>
      <c r="C68" s="98">
        <v>1</v>
      </c>
      <c r="D68" s="98">
        <v>1</v>
      </c>
      <c r="E68" s="98">
        <v>5</v>
      </c>
      <c r="F68" s="98">
        <v>1</v>
      </c>
      <c r="G68" s="98">
        <v>5</v>
      </c>
      <c r="H68" s="98">
        <v>1</v>
      </c>
      <c r="I68" s="98">
        <v>10</v>
      </c>
      <c r="J68" s="79"/>
      <c r="K68" s="87">
        <f>SUM(B68:J68)</f>
        <v>25</v>
      </c>
      <c r="L68" s="95">
        <f t="shared" si="7"/>
        <v>0.15114873035066506</v>
      </c>
    </row>
    <row r="69" spans="1:12" x14ac:dyDescent="0.3">
      <c r="A69" s="115" t="s">
        <v>21</v>
      </c>
      <c r="B69" s="115"/>
      <c r="C69" s="115"/>
      <c r="D69" s="115"/>
      <c r="E69" s="115"/>
      <c r="F69" s="115"/>
      <c r="G69" s="115"/>
      <c r="H69" s="115"/>
      <c r="I69" s="115"/>
      <c r="J69" s="115"/>
      <c r="K69" s="87">
        <f>SUM(K60:K68)</f>
        <v>165.4</v>
      </c>
      <c r="L69" s="95">
        <f>SUM(L60:L68)</f>
        <v>1</v>
      </c>
    </row>
    <row r="70" spans="1:12" x14ac:dyDescent="0.3">
      <c r="A70" s="38"/>
      <c r="B70" s="38"/>
      <c r="C70" s="38"/>
      <c r="D70" s="38"/>
      <c r="E70" s="38"/>
      <c r="F70" s="38"/>
      <c r="G70" s="38"/>
      <c r="H70" s="38"/>
      <c r="I70" s="38"/>
      <c r="J70" s="38"/>
      <c r="K70" s="38"/>
      <c r="L70" s="38"/>
    </row>
    <row r="71" spans="1:12" x14ac:dyDescent="0.3">
      <c r="A71" s="104" t="s">
        <v>31</v>
      </c>
      <c r="B71" s="106" t="s">
        <v>238</v>
      </c>
      <c r="C71" s="107"/>
      <c r="D71" s="108"/>
      <c r="E71" s="93"/>
      <c r="F71" s="93"/>
      <c r="G71" s="93"/>
      <c r="H71" s="93"/>
      <c r="I71" s="93"/>
      <c r="J71" s="93"/>
      <c r="K71" s="93"/>
      <c r="L71" s="93"/>
    </row>
    <row r="72" spans="1:12" x14ac:dyDescent="0.3">
      <c r="A72" s="105"/>
      <c r="B72" s="109"/>
      <c r="C72" s="110"/>
      <c r="D72" s="111"/>
      <c r="E72" s="93"/>
      <c r="F72" s="93"/>
      <c r="G72" s="93"/>
      <c r="H72" s="93"/>
      <c r="I72" s="93"/>
      <c r="J72" s="93"/>
      <c r="K72" s="93"/>
      <c r="L72" s="93"/>
    </row>
    <row r="73" spans="1:12" x14ac:dyDescent="0.3">
      <c r="A73" s="112" t="s">
        <v>30</v>
      </c>
      <c r="B73" s="113"/>
      <c r="C73" s="113"/>
      <c r="D73" s="113"/>
      <c r="E73" s="113"/>
      <c r="F73" s="113"/>
      <c r="G73" s="113"/>
      <c r="H73" s="113"/>
      <c r="I73" s="113"/>
      <c r="J73" s="113"/>
      <c r="K73" s="113"/>
      <c r="L73" s="114"/>
    </row>
    <row r="74" spans="1:12" ht="39.6" x14ac:dyDescent="0.3">
      <c r="A74" s="94"/>
      <c r="B74" s="77" t="s">
        <v>23</v>
      </c>
      <c r="C74" s="77" t="s">
        <v>24</v>
      </c>
      <c r="D74" s="77" t="s">
        <v>25</v>
      </c>
      <c r="E74" s="77" t="s">
        <v>130</v>
      </c>
      <c r="F74" s="77" t="s">
        <v>131</v>
      </c>
      <c r="G74" s="77" t="s">
        <v>26</v>
      </c>
      <c r="H74" s="77" t="s">
        <v>27</v>
      </c>
      <c r="I74" s="77" t="s">
        <v>145</v>
      </c>
      <c r="J74" s="77" t="s">
        <v>147</v>
      </c>
      <c r="K74" s="77" t="s">
        <v>21</v>
      </c>
      <c r="L74" s="77" t="s">
        <v>22</v>
      </c>
    </row>
    <row r="75" spans="1:12" x14ac:dyDescent="0.3">
      <c r="A75" s="78" t="s">
        <v>23</v>
      </c>
      <c r="B75" s="79"/>
      <c r="C75" s="87">
        <v>5</v>
      </c>
      <c r="D75" s="87">
        <v>1</v>
      </c>
      <c r="E75" s="87">
        <v>5</v>
      </c>
      <c r="F75" s="87">
        <v>1</v>
      </c>
      <c r="G75" s="87">
        <v>1</v>
      </c>
      <c r="H75" s="87">
        <v>1</v>
      </c>
      <c r="I75" s="87">
        <v>10</v>
      </c>
      <c r="J75" s="87">
        <v>5</v>
      </c>
      <c r="K75" s="86">
        <f>SUM(B75:J75)</f>
        <v>29</v>
      </c>
      <c r="L75" s="95">
        <f t="shared" ref="L75:L83" si="8">K75/$K$84</f>
        <v>0.17048794826572605</v>
      </c>
    </row>
    <row r="76" spans="1:12" x14ac:dyDescent="0.3">
      <c r="A76" s="78" t="s">
        <v>24</v>
      </c>
      <c r="B76" s="87">
        <v>0.2</v>
      </c>
      <c r="C76" s="79"/>
      <c r="D76" s="87">
        <v>0.2</v>
      </c>
      <c r="E76" s="87">
        <v>1</v>
      </c>
      <c r="F76" s="87">
        <v>0.2</v>
      </c>
      <c r="G76" s="87">
        <v>0.2</v>
      </c>
      <c r="H76" s="87">
        <v>0.2</v>
      </c>
      <c r="I76" s="87">
        <v>5</v>
      </c>
      <c r="J76" s="87">
        <v>1</v>
      </c>
      <c r="K76" s="86">
        <f>SUM(B76:J76)</f>
        <v>8</v>
      </c>
      <c r="L76" s="95">
        <f t="shared" si="8"/>
        <v>4.7031158142269255E-2</v>
      </c>
    </row>
    <row r="77" spans="1:12" x14ac:dyDescent="0.3">
      <c r="A77" s="78" t="s">
        <v>25</v>
      </c>
      <c r="B77" s="87">
        <v>1</v>
      </c>
      <c r="C77" s="87">
        <v>5</v>
      </c>
      <c r="D77" s="79"/>
      <c r="E77" s="87">
        <v>5</v>
      </c>
      <c r="F77" s="87">
        <v>1</v>
      </c>
      <c r="G77" s="87">
        <v>1</v>
      </c>
      <c r="H77" s="87">
        <v>1</v>
      </c>
      <c r="I77" s="87">
        <v>10</v>
      </c>
      <c r="J77" s="87">
        <v>5</v>
      </c>
      <c r="K77" s="86">
        <f>SUM(B77:J77)</f>
        <v>29</v>
      </c>
      <c r="L77" s="95">
        <f t="shared" si="8"/>
        <v>0.17048794826572605</v>
      </c>
    </row>
    <row r="78" spans="1:12" x14ac:dyDescent="0.3">
      <c r="A78" s="78" t="s">
        <v>130</v>
      </c>
      <c r="B78" s="87">
        <v>0.2</v>
      </c>
      <c r="C78" s="87">
        <v>1</v>
      </c>
      <c r="D78" s="87">
        <v>0.2</v>
      </c>
      <c r="E78" s="79"/>
      <c r="F78" s="87">
        <v>0.2</v>
      </c>
      <c r="G78" s="88">
        <v>0.2</v>
      </c>
      <c r="H78" s="88">
        <v>0.2</v>
      </c>
      <c r="I78" s="88">
        <v>5</v>
      </c>
      <c r="J78" s="88">
        <v>1</v>
      </c>
      <c r="K78" s="86">
        <f t="shared" ref="K78:K83" si="9">SUM(B78:J78)</f>
        <v>8</v>
      </c>
      <c r="L78" s="95">
        <f t="shared" si="8"/>
        <v>4.7031158142269255E-2</v>
      </c>
    </row>
    <row r="79" spans="1:12" x14ac:dyDescent="0.3">
      <c r="A79" s="78" t="s">
        <v>131</v>
      </c>
      <c r="B79" s="87">
        <v>1</v>
      </c>
      <c r="C79" s="87">
        <v>5</v>
      </c>
      <c r="D79" s="87">
        <v>1</v>
      </c>
      <c r="E79" s="87">
        <v>5</v>
      </c>
      <c r="F79" s="79"/>
      <c r="G79" s="87">
        <v>1</v>
      </c>
      <c r="H79" s="88">
        <v>1</v>
      </c>
      <c r="I79" s="87">
        <v>10</v>
      </c>
      <c r="J79" s="88">
        <v>5</v>
      </c>
      <c r="K79" s="86">
        <f t="shared" si="9"/>
        <v>29</v>
      </c>
      <c r="L79" s="95">
        <f t="shared" si="8"/>
        <v>0.17048794826572605</v>
      </c>
    </row>
    <row r="80" spans="1:12" x14ac:dyDescent="0.3">
      <c r="A80" s="78" t="s">
        <v>26</v>
      </c>
      <c r="B80" s="87">
        <v>1</v>
      </c>
      <c r="C80" s="87">
        <v>5</v>
      </c>
      <c r="D80" s="87">
        <v>1</v>
      </c>
      <c r="E80" s="88">
        <v>5</v>
      </c>
      <c r="F80" s="88">
        <v>1</v>
      </c>
      <c r="G80" s="79"/>
      <c r="H80" s="88">
        <v>1</v>
      </c>
      <c r="I80" s="88">
        <v>10</v>
      </c>
      <c r="J80" s="88">
        <v>5</v>
      </c>
      <c r="K80" s="86">
        <f>SUM(B80:J80)</f>
        <v>29</v>
      </c>
      <c r="L80" s="95">
        <f t="shared" si="8"/>
        <v>0.17048794826572605</v>
      </c>
    </row>
    <row r="81" spans="1:12" x14ac:dyDescent="0.3">
      <c r="A81" s="78" t="s">
        <v>27</v>
      </c>
      <c r="B81" s="87">
        <v>1</v>
      </c>
      <c r="C81" s="87">
        <v>5</v>
      </c>
      <c r="D81" s="87">
        <v>1</v>
      </c>
      <c r="E81" s="88">
        <v>5</v>
      </c>
      <c r="F81" s="88">
        <v>1</v>
      </c>
      <c r="G81" s="88">
        <v>1</v>
      </c>
      <c r="H81" s="79"/>
      <c r="I81" s="88">
        <v>10</v>
      </c>
      <c r="J81" s="88">
        <v>5</v>
      </c>
      <c r="K81" s="86">
        <f t="shared" si="9"/>
        <v>29</v>
      </c>
      <c r="L81" s="95">
        <f t="shared" si="8"/>
        <v>0.17048794826572605</v>
      </c>
    </row>
    <row r="82" spans="1:12" x14ac:dyDescent="0.3">
      <c r="A82" s="78" t="s">
        <v>145</v>
      </c>
      <c r="B82" s="87">
        <v>0.1</v>
      </c>
      <c r="C82" s="87">
        <v>0.2</v>
      </c>
      <c r="D82" s="87">
        <v>0.1</v>
      </c>
      <c r="E82" s="88">
        <v>0.2</v>
      </c>
      <c r="F82" s="91">
        <v>0.1</v>
      </c>
      <c r="G82" s="88">
        <v>0.1</v>
      </c>
      <c r="H82" s="88">
        <v>0.1</v>
      </c>
      <c r="I82" s="79"/>
      <c r="J82" s="88">
        <v>0.2</v>
      </c>
      <c r="K82" s="86">
        <f t="shared" si="9"/>
        <v>1.1000000000000001</v>
      </c>
      <c r="L82" s="95">
        <f t="shared" si="8"/>
        <v>6.4667842445620231E-3</v>
      </c>
    </row>
    <row r="83" spans="1:12" x14ac:dyDescent="0.3">
      <c r="A83" s="78" t="s">
        <v>147</v>
      </c>
      <c r="B83" s="87">
        <v>0.2</v>
      </c>
      <c r="C83" s="87">
        <v>1</v>
      </c>
      <c r="D83" s="87">
        <v>0.2</v>
      </c>
      <c r="E83" s="88">
        <v>1</v>
      </c>
      <c r="F83" s="88">
        <v>0.2</v>
      </c>
      <c r="G83" s="88">
        <v>0.2</v>
      </c>
      <c r="H83" s="88">
        <v>0.2</v>
      </c>
      <c r="I83" s="88">
        <v>5</v>
      </c>
      <c r="J83" s="79"/>
      <c r="K83" s="86">
        <f t="shared" si="9"/>
        <v>8</v>
      </c>
      <c r="L83" s="95">
        <f t="shared" si="8"/>
        <v>4.7031158142269255E-2</v>
      </c>
    </row>
    <row r="84" spans="1:12" x14ac:dyDescent="0.3">
      <c r="A84" s="101" t="s">
        <v>21</v>
      </c>
      <c r="B84" s="117"/>
      <c r="C84" s="117"/>
      <c r="D84" s="117"/>
      <c r="E84" s="117"/>
      <c r="F84" s="117"/>
      <c r="G84" s="117"/>
      <c r="H84" s="117"/>
      <c r="I84" s="117"/>
      <c r="J84" s="136"/>
      <c r="K84" s="87">
        <f>SUM(K75:K83)</f>
        <v>170.1</v>
      </c>
      <c r="L84" s="95">
        <f>SUM(L75:L83)</f>
        <v>0.99999999999999989</v>
      </c>
    </row>
    <row r="85" spans="1:12" x14ac:dyDescent="0.3">
      <c r="A85" s="93"/>
      <c r="B85" s="93"/>
      <c r="C85" s="93"/>
      <c r="D85" s="93"/>
      <c r="E85" s="93"/>
      <c r="F85" s="93"/>
      <c r="G85" s="93"/>
      <c r="H85" s="93"/>
      <c r="I85" s="93"/>
      <c r="J85" s="93"/>
      <c r="K85" s="93"/>
      <c r="L85" s="93"/>
    </row>
    <row r="86" spans="1:12" x14ac:dyDescent="0.3">
      <c r="A86" s="104" t="s">
        <v>31</v>
      </c>
      <c r="B86" s="106" t="s">
        <v>239</v>
      </c>
      <c r="C86" s="107"/>
      <c r="D86" s="108"/>
      <c r="E86" s="93"/>
      <c r="F86" s="93"/>
      <c r="G86" s="93"/>
      <c r="H86" s="93"/>
      <c r="I86" s="93"/>
      <c r="J86" s="93"/>
      <c r="K86" s="93"/>
      <c r="L86" s="93"/>
    </row>
    <row r="87" spans="1:12" x14ac:dyDescent="0.3">
      <c r="A87" s="105"/>
      <c r="B87" s="109"/>
      <c r="C87" s="110"/>
      <c r="D87" s="111"/>
      <c r="E87" s="93"/>
      <c r="F87" s="93"/>
      <c r="G87" s="93"/>
      <c r="H87" s="93"/>
      <c r="I87" s="93"/>
      <c r="J87" s="93"/>
      <c r="K87" s="93"/>
      <c r="L87" s="93"/>
    </row>
    <row r="88" spans="1:12" x14ac:dyDescent="0.3">
      <c r="A88" s="112" t="s">
        <v>30</v>
      </c>
      <c r="B88" s="113"/>
      <c r="C88" s="113"/>
      <c r="D88" s="113"/>
      <c r="E88" s="113"/>
      <c r="F88" s="113"/>
      <c r="G88" s="113"/>
      <c r="H88" s="113"/>
      <c r="I88" s="113"/>
      <c r="J88" s="113"/>
      <c r="K88" s="113"/>
      <c r="L88" s="114"/>
    </row>
    <row r="89" spans="1:12" ht="39.6" x14ac:dyDescent="0.3">
      <c r="A89" s="94"/>
      <c r="B89" s="77" t="s">
        <v>23</v>
      </c>
      <c r="C89" s="77" t="s">
        <v>24</v>
      </c>
      <c r="D89" s="77" t="s">
        <v>25</v>
      </c>
      <c r="E89" s="77" t="s">
        <v>130</v>
      </c>
      <c r="F89" s="77" t="s">
        <v>131</v>
      </c>
      <c r="G89" s="77" t="s">
        <v>26</v>
      </c>
      <c r="H89" s="77" t="s">
        <v>27</v>
      </c>
      <c r="I89" s="77" t="s">
        <v>145</v>
      </c>
      <c r="J89" s="77" t="s">
        <v>147</v>
      </c>
      <c r="K89" s="77" t="s">
        <v>21</v>
      </c>
      <c r="L89" s="77" t="s">
        <v>22</v>
      </c>
    </row>
    <row r="90" spans="1:12" x14ac:dyDescent="0.3">
      <c r="A90" s="78" t="s">
        <v>23</v>
      </c>
      <c r="B90" s="92"/>
      <c r="C90" s="87">
        <v>1</v>
      </c>
      <c r="D90" s="87">
        <v>1</v>
      </c>
      <c r="E90" s="87">
        <v>5</v>
      </c>
      <c r="F90" s="87">
        <v>1</v>
      </c>
      <c r="G90" s="87">
        <v>5</v>
      </c>
      <c r="H90" s="87">
        <v>1</v>
      </c>
      <c r="I90" s="87">
        <v>10</v>
      </c>
      <c r="J90" s="87">
        <v>1</v>
      </c>
      <c r="K90" s="87">
        <f t="shared" ref="K90:K98" si="10">SUM(B90:J90)</f>
        <v>25</v>
      </c>
      <c r="L90" s="95">
        <f t="shared" ref="L90:L98" si="11">K90/$K$99</f>
        <v>0.15114873035066506</v>
      </c>
    </row>
    <row r="91" spans="1:12" x14ac:dyDescent="0.3">
      <c r="A91" s="78" t="s">
        <v>24</v>
      </c>
      <c r="B91" s="87">
        <v>1</v>
      </c>
      <c r="C91" s="92"/>
      <c r="D91" s="87">
        <v>1</v>
      </c>
      <c r="E91" s="87">
        <v>5</v>
      </c>
      <c r="F91" s="87">
        <v>1</v>
      </c>
      <c r="G91" s="87">
        <v>5</v>
      </c>
      <c r="H91" s="87">
        <v>1</v>
      </c>
      <c r="I91" s="87">
        <v>10</v>
      </c>
      <c r="J91" s="87">
        <v>1</v>
      </c>
      <c r="K91" s="87">
        <f t="shared" si="10"/>
        <v>25</v>
      </c>
      <c r="L91" s="95">
        <f t="shared" si="11"/>
        <v>0.15114873035066506</v>
      </c>
    </row>
    <row r="92" spans="1:12" x14ac:dyDescent="0.3">
      <c r="A92" s="78" t="s">
        <v>25</v>
      </c>
      <c r="B92" s="87">
        <v>1</v>
      </c>
      <c r="C92" s="87">
        <v>1</v>
      </c>
      <c r="D92" s="92"/>
      <c r="E92" s="87">
        <v>5</v>
      </c>
      <c r="F92" s="87">
        <v>1</v>
      </c>
      <c r="G92" s="87">
        <v>5</v>
      </c>
      <c r="H92" s="87">
        <v>1</v>
      </c>
      <c r="I92" s="87">
        <v>10</v>
      </c>
      <c r="J92" s="87">
        <v>1</v>
      </c>
      <c r="K92" s="87">
        <f t="shared" si="10"/>
        <v>25</v>
      </c>
      <c r="L92" s="95">
        <f t="shared" si="11"/>
        <v>0.15114873035066506</v>
      </c>
    </row>
    <row r="93" spans="1:12" x14ac:dyDescent="0.3">
      <c r="A93" s="78" t="s">
        <v>130</v>
      </c>
      <c r="B93" s="87">
        <v>0.2</v>
      </c>
      <c r="C93" s="87">
        <v>0.2</v>
      </c>
      <c r="D93" s="87">
        <v>0.2</v>
      </c>
      <c r="E93" s="92"/>
      <c r="F93" s="87">
        <v>0.2</v>
      </c>
      <c r="G93" s="87">
        <v>1</v>
      </c>
      <c r="H93" s="87">
        <v>0.2</v>
      </c>
      <c r="I93" s="87">
        <v>5</v>
      </c>
      <c r="J93" s="87">
        <v>0.2</v>
      </c>
      <c r="K93" s="87">
        <f t="shared" si="10"/>
        <v>7.2</v>
      </c>
      <c r="L93" s="95">
        <f t="shared" si="11"/>
        <v>4.3530834340991538E-2</v>
      </c>
    </row>
    <row r="94" spans="1:12" x14ac:dyDescent="0.3">
      <c r="A94" s="78" t="s">
        <v>131</v>
      </c>
      <c r="B94" s="87">
        <v>1</v>
      </c>
      <c r="C94" s="87">
        <v>1</v>
      </c>
      <c r="D94" s="87">
        <v>1</v>
      </c>
      <c r="E94" s="87">
        <v>5</v>
      </c>
      <c r="F94" s="92"/>
      <c r="G94" s="87">
        <v>5</v>
      </c>
      <c r="H94" s="87">
        <v>1</v>
      </c>
      <c r="I94" s="87">
        <v>10</v>
      </c>
      <c r="J94" s="87">
        <v>1</v>
      </c>
      <c r="K94" s="87">
        <f t="shared" si="10"/>
        <v>25</v>
      </c>
      <c r="L94" s="95">
        <f t="shared" si="11"/>
        <v>0.15114873035066506</v>
      </c>
    </row>
    <row r="95" spans="1:12" x14ac:dyDescent="0.3">
      <c r="A95" s="78" t="s">
        <v>26</v>
      </c>
      <c r="B95" s="87">
        <v>0.2</v>
      </c>
      <c r="C95" s="87">
        <v>0.2</v>
      </c>
      <c r="D95" s="87">
        <v>0.2</v>
      </c>
      <c r="E95" s="87">
        <v>1</v>
      </c>
      <c r="F95" s="87">
        <v>0.2</v>
      </c>
      <c r="G95" s="92"/>
      <c r="H95" s="87">
        <v>0.2</v>
      </c>
      <c r="I95" s="87">
        <v>5</v>
      </c>
      <c r="J95" s="87">
        <v>0.2</v>
      </c>
      <c r="K95" s="87">
        <f t="shared" si="10"/>
        <v>7.2</v>
      </c>
      <c r="L95" s="95">
        <f t="shared" si="11"/>
        <v>4.3530834340991538E-2</v>
      </c>
    </row>
    <row r="96" spans="1:12" x14ac:dyDescent="0.3">
      <c r="A96" s="78" t="s">
        <v>27</v>
      </c>
      <c r="B96" s="87">
        <v>1</v>
      </c>
      <c r="C96" s="87">
        <v>1</v>
      </c>
      <c r="D96" s="87">
        <v>1</v>
      </c>
      <c r="E96" s="87">
        <v>5</v>
      </c>
      <c r="F96" s="87">
        <v>1</v>
      </c>
      <c r="G96" s="87">
        <v>5</v>
      </c>
      <c r="H96" s="92"/>
      <c r="I96" s="87">
        <v>10</v>
      </c>
      <c r="J96" s="87">
        <v>1</v>
      </c>
      <c r="K96" s="87">
        <f t="shared" si="10"/>
        <v>25</v>
      </c>
      <c r="L96" s="95">
        <f t="shared" si="11"/>
        <v>0.15114873035066506</v>
      </c>
    </row>
    <row r="97" spans="1:12" x14ac:dyDescent="0.3">
      <c r="A97" s="78" t="s">
        <v>145</v>
      </c>
      <c r="B97" s="87">
        <v>0.1</v>
      </c>
      <c r="C97" s="87">
        <v>0.1</v>
      </c>
      <c r="D97" s="87">
        <v>0.1</v>
      </c>
      <c r="E97" s="87">
        <v>0.2</v>
      </c>
      <c r="F97" s="87">
        <v>0.1</v>
      </c>
      <c r="G97" s="87">
        <v>0.2</v>
      </c>
      <c r="H97" s="87">
        <v>0.1</v>
      </c>
      <c r="I97" s="92"/>
      <c r="J97" s="87">
        <v>0.1</v>
      </c>
      <c r="K97" s="87">
        <f t="shared" si="10"/>
        <v>1</v>
      </c>
      <c r="L97" s="95">
        <f t="shared" si="11"/>
        <v>6.0459492140266021E-3</v>
      </c>
    </row>
    <row r="98" spans="1:12" x14ac:dyDescent="0.3">
      <c r="A98" s="78" t="s">
        <v>147</v>
      </c>
      <c r="B98" s="87">
        <v>1</v>
      </c>
      <c r="C98" s="87">
        <v>1</v>
      </c>
      <c r="D98" s="87">
        <v>1</v>
      </c>
      <c r="E98" s="87">
        <v>5</v>
      </c>
      <c r="F98" s="87">
        <v>1</v>
      </c>
      <c r="G98" s="87">
        <v>5</v>
      </c>
      <c r="H98" s="87">
        <v>1</v>
      </c>
      <c r="I98" s="87">
        <v>10</v>
      </c>
      <c r="J98" s="92"/>
      <c r="K98" s="87">
        <f t="shared" si="10"/>
        <v>25</v>
      </c>
      <c r="L98" s="95">
        <f t="shared" si="11"/>
        <v>0.15114873035066506</v>
      </c>
    </row>
    <row r="99" spans="1:12" x14ac:dyDescent="0.3">
      <c r="A99" s="115" t="s">
        <v>21</v>
      </c>
      <c r="B99" s="115"/>
      <c r="C99" s="115"/>
      <c r="D99" s="115"/>
      <c r="E99" s="115"/>
      <c r="F99" s="115"/>
      <c r="G99" s="115"/>
      <c r="H99" s="115"/>
      <c r="I99" s="115"/>
      <c r="J99" s="115"/>
      <c r="K99" s="87">
        <f>SUM(K90:K98)</f>
        <v>165.4</v>
      </c>
      <c r="L99" s="95">
        <f>SUM(L90:L98)</f>
        <v>1</v>
      </c>
    </row>
    <row r="100" spans="1:12" x14ac:dyDescent="0.3">
      <c r="A100" s="38"/>
      <c r="B100" s="38"/>
      <c r="C100" s="38"/>
      <c r="D100" s="38"/>
      <c r="E100" s="38"/>
      <c r="F100" s="38"/>
      <c r="G100" s="38"/>
      <c r="H100" s="38"/>
      <c r="I100" s="38"/>
      <c r="J100" s="38"/>
      <c r="K100" s="38"/>
      <c r="L100" s="38"/>
    </row>
    <row r="101" spans="1:12" x14ac:dyDescent="0.3">
      <c r="A101" s="104" t="s">
        <v>31</v>
      </c>
      <c r="B101" s="106" t="s">
        <v>240</v>
      </c>
      <c r="C101" s="107"/>
      <c r="D101" s="108"/>
      <c r="E101" s="93"/>
      <c r="F101" s="93"/>
      <c r="G101" s="93"/>
      <c r="H101" s="93"/>
      <c r="I101" s="93"/>
      <c r="J101" s="93"/>
      <c r="K101" s="93"/>
      <c r="L101" s="93"/>
    </row>
    <row r="102" spans="1:12" x14ac:dyDescent="0.3">
      <c r="A102" s="105"/>
      <c r="B102" s="109"/>
      <c r="C102" s="110"/>
      <c r="D102" s="111"/>
      <c r="E102" s="93"/>
      <c r="F102" s="93"/>
      <c r="G102" s="93"/>
      <c r="H102" s="93"/>
      <c r="I102" s="93"/>
      <c r="J102" s="93"/>
      <c r="K102" s="93"/>
      <c r="L102" s="93"/>
    </row>
    <row r="103" spans="1:12" x14ac:dyDescent="0.3">
      <c r="A103" s="112" t="s">
        <v>30</v>
      </c>
      <c r="B103" s="113"/>
      <c r="C103" s="113"/>
      <c r="D103" s="113"/>
      <c r="E103" s="113"/>
      <c r="F103" s="113"/>
      <c r="G103" s="113"/>
      <c r="H103" s="113"/>
      <c r="I103" s="113"/>
      <c r="J103" s="113"/>
      <c r="K103" s="113"/>
      <c r="L103" s="114"/>
    </row>
    <row r="104" spans="1:12" ht="39.6" x14ac:dyDescent="0.3">
      <c r="A104" s="94"/>
      <c r="B104" s="77" t="s">
        <v>23</v>
      </c>
      <c r="C104" s="77" t="s">
        <v>24</v>
      </c>
      <c r="D104" s="77" t="s">
        <v>25</v>
      </c>
      <c r="E104" s="77" t="s">
        <v>130</v>
      </c>
      <c r="F104" s="77" t="s">
        <v>131</v>
      </c>
      <c r="G104" s="77" t="s">
        <v>26</v>
      </c>
      <c r="H104" s="77" t="s">
        <v>27</v>
      </c>
      <c r="I104" s="77" t="s">
        <v>145</v>
      </c>
      <c r="J104" s="77" t="s">
        <v>147</v>
      </c>
      <c r="K104" s="77" t="s">
        <v>21</v>
      </c>
      <c r="L104" s="77" t="s">
        <v>22</v>
      </c>
    </row>
    <row r="105" spans="1:12" x14ac:dyDescent="0.3">
      <c r="A105" s="78" t="s">
        <v>23</v>
      </c>
      <c r="B105" s="92"/>
      <c r="C105" s="87">
        <v>1</v>
      </c>
      <c r="D105" s="87">
        <v>1</v>
      </c>
      <c r="E105" s="87">
        <v>1</v>
      </c>
      <c r="F105" s="87">
        <v>1</v>
      </c>
      <c r="G105" s="87">
        <v>1</v>
      </c>
      <c r="H105" s="87">
        <v>0.2</v>
      </c>
      <c r="I105" s="87">
        <v>5</v>
      </c>
      <c r="J105" s="87">
        <v>5</v>
      </c>
      <c r="K105" s="87">
        <f t="shared" ref="K105:K113" si="12">SUM(B105:J105)</f>
        <v>15.2</v>
      </c>
      <c r="L105" s="95">
        <f t="shared" ref="L105:L113" si="13">K105/$K$114</f>
        <v>0.10425240054869683</v>
      </c>
    </row>
    <row r="106" spans="1:12" x14ac:dyDescent="0.3">
      <c r="A106" s="78" t="s">
        <v>24</v>
      </c>
      <c r="B106" s="87">
        <v>1</v>
      </c>
      <c r="C106" s="92"/>
      <c r="D106" s="87">
        <v>1</v>
      </c>
      <c r="E106" s="87">
        <v>1</v>
      </c>
      <c r="F106" s="87">
        <v>1</v>
      </c>
      <c r="G106" s="87">
        <v>1</v>
      </c>
      <c r="H106" s="87">
        <v>0.2</v>
      </c>
      <c r="I106" s="87">
        <v>5</v>
      </c>
      <c r="J106" s="87">
        <v>5</v>
      </c>
      <c r="K106" s="87">
        <f t="shared" si="12"/>
        <v>15.2</v>
      </c>
      <c r="L106" s="95">
        <f t="shared" si="13"/>
        <v>0.10425240054869683</v>
      </c>
    </row>
    <row r="107" spans="1:12" x14ac:dyDescent="0.3">
      <c r="A107" s="78" t="s">
        <v>25</v>
      </c>
      <c r="B107" s="87">
        <v>1</v>
      </c>
      <c r="C107" s="87">
        <v>1</v>
      </c>
      <c r="D107" s="92"/>
      <c r="E107" s="87">
        <v>1</v>
      </c>
      <c r="F107" s="87">
        <v>1</v>
      </c>
      <c r="G107" s="87">
        <v>1</v>
      </c>
      <c r="H107" s="87">
        <v>0.2</v>
      </c>
      <c r="I107" s="87">
        <v>5</v>
      </c>
      <c r="J107" s="87">
        <v>5</v>
      </c>
      <c r="K107" s="87">
        <f t="shared" si="12"/>
        <v>15.2</v>
      </c>
      <c r="L107" s="95">
        <f t="shared" si="13"/>
        <v>0.10425240054869683</v>
      </c>
    </row>
    <row r="108" spans="1:12" x14ac:dyDescent="0.3">
      <c r="A108" s="78" t="s">
        <v>130</v>
      </c>
      <c r="B108" s="87">
        <v>1</v>
      </c>
      <c r="C108" s="87">
        <v>1</v>
      </c>
      <c r="D108" s="87">
        <v>1</v>
      </c>
      <c r="E108" s="92"/>
      <c r="F108" s="87">
        <v>1</v>
      </c>
      <c r="G108" s="87">
        <v>1</v>
      </c>
      <c r="H108" s="87">
        <v>0.2</v>
      </c>
      <c r="I108" s="87">
        <v>5</v>
      </c>
      <c r="J108" s="87">
        <v>5</v>
      </c>
      <c r="K108" s="87">
        <f t="shared" si="12"/>
        <v>15.2</v>
      </c>
      <c r="L108" s="95">
        <f t="shared" si="13"/>
        <v>0.10425240054869683</v>
      </c>
    </row>
    <row r="109" spans="1:12" x14ac:dyDescent="0.3">
      <c r="A109" s="78" t="s">
        <v>131</v>
      </c>
      <c r="B109" s="87">
        <v>1</v>
      </c>
      <c r="C109" s="87">
        <v>1</v>
      </c>
      <c r="D109" s="87">
        <v>1</v>
      </c>
      <c r="E109" s="87">
        <v>1</v>
      </c>
      <c r="F109" s="92"/>
      <c r="G109" s="87">
        <v>1</v>
      </c>
      <c r="H109" s="87">
        <v>0.2</v>
      </c>
      <c r="I109" s="87">
        <v>5</v>
      </c>
      <c r="J109" s="87">
        <v>5</v>
      </c>
      <c r="K109" s="87">
        <f t="shared" si="12"/>
        <v>15.2</v>
      </c>
      <c r="L109" s="95">
        <f t="shared" si="13"/>
        <v>0.10425240054869683</v>
      </c>
    </row>
    <row r="110" spans="1:12" x14ac:dyDescent="0.3">
      <c r="A110" s="78" t="s">
        <v>26</v>
      </c>
      <c r="B110" s="87">
        <v>1</v>
      </c>
      <c r="C110" s="87">
        <v>1</v>
      </c>
      <c r="D110" s="87">
        <v>1</v>
      </c>
      <c r="E110" s="87">
        <v>1</v>
      </c>
      <c r="F110" s="87">
        <v>1</v>
      </c>
      <c r="G110" s="92"/>
      <c r="H110" s="87">
        <v>0.2</v>
      </c>
      <c r="I110" s="87">
        <v>5</v>
      </c>
      <c r="J110" s="87">
        <v>5</v>
      </c>
      <c r="K110" s="87">
        <f t="shared" si="12"/>
        <v>15.2</v>
      </c>
      <c r="L110" s="95">
        <f t="shared" si="13"/>
        <v>0.10425240054869683</v>
      </c>
    </row>
    <row r="111" spans="1:12" x14ac:dyDescent="0.3">
      <c r="A111" s="78" t="s">
        <v>27</v>
      </c>
      <c r="B111" s="87">
        <v>5</v>
      </c>
      <c r="C111" s="87">
        <v>5</v>
      </c>
      <c r="D111" s="87">
        <v>5</v>
      </c>
      <c r="E111" s="87">
        <v>5</v>
      </c>
      <c r="F111" s="87">
        <v>5</v>
      </c>
      <c r="G111" s="87">
        <v>5</v>
      </c>
      <c r="H111" s="92"/>
      <c r="I111" s="87">
        <v>10</v>
      </c>
      <c r="J111" s="87">
        <v>10</v>
      </c>
      <c r="K111" s="87">
        <f t="shared" si="12"/>
        <v>50</v>
      </c>
      <c r="L111" s="95">
        <f t="shared" si="13"/>
        <v>0.34293552812071326</v>
      </c>
    </row>
    <row r="112" spans="1:12" x14ac:dyDescent="0.3">
      <c r="A112" s="78" t="s">
        <v>145</v>
      </c>
      <c r="B112" s="87">
        <v>0.2</v>
      </c>
      <c r="C112" s="87">
        <v>0.2</v>
      </c>
      <c r="D112" s="87">
        <v>0.2</v>
      </c>
      <c r="E112" s="87">
        <v>0.2</v>
      </c>
      <c r="F112" s="87">
        <v>0.2</v>
      </c>
      <c r="G112" s="87">
        <v>0.2</v>
      </c>
      <c r="H112" s="87">
        <v>0.1</v>
      </c>
      <c r="I112" s="92"/>
      <c r="J112" s="87">
        <v>1</v>
      </c>
      <c r="K112" s="87">
        <f t="shared" si="12"/>
        <v>2.2999999999999998</v>
      </c>
      <c r="L112" s="95">
        <f t="shared" si="13"/>
        <v>1.5775034293552811E-2</v>
      </c>
    </row>
    <row r="113" spans="1:12" x14ac:dyDescent="0.3">
      <c r="A113" s="78" t="s">
        <v>147</v>
      </c>
      <c r="B113" s="87">
        <v>0.2</v>
      </c>
      <c r="C113" s="87">
        <v>0.2</v>
      </c>
      <c r="D113" s="87">
        <v>0.2</v>
      </c>
      <c r="E113" s="87">
        <v>0.2</v>
      </c>
      <c r="F113" s="87">
        <v>0.2</v>
      </c>
      <c r="G113" s="87">
        <v>0.2</v>
      </c>
      <c r="H113" s="87">
        <v>0.1</v>
      </c>
      <c r="I113" s="87">
        <v>1</v>
      </c>
      <c r="J113" s="92"/>
      <c r="K113" s="87">
        <f t="shared" si="12"/>
        <v>2.2999999999999998</v>
      </c>
      <c r="L113" s="95">
        <f t="shared" si="13"/>
        <v>1.5775034293552811E-2</v>
      </c>
    </row>
    <row r="114" spans="1:12" x14ac:dyDescent="0.3">
      <c r="A114" s="115" t="s">
        <v>21</v>
      </c>
      <c r="B114" s="115"/>
      <c r="C114" s="115"/>
      <c r="D114" s="115"/>
      <c r="E114" s="115"/>
      <c r="F114" s="115"/>
      <c r="G114" s="115"/>
      <c r="H114" s="115"/>
      <c r="I114" s="115"/>
      <c r="J114" s="115"/>
      <c r="K114" s="87">
        <f>SUM(K105:K113)</f>
        <v>145.80000000000001</v>
      </c>
      <c r="L114" s="95">
        <f>SUM(L105:L113)</f>
        <v>0.99999999999999989</v>
      </c>
    </row>
    <row r="115" spans="1:12" x14ac:dyDescent="0.3">
      <c r="A115" s="38"/>
      <c r="B115" s="38"/>
      <c r="C115" s="38"/>
      <c r="D115" s="38"/>
      <c r="E115" s="38"/>
      <c r="F115" s="38"/>
      <c r="G115" s="38"/>
      <c r="H115" s="38"/>
      <c r="I115" s="38"/>
      <c r="J115" s="38"/>
      <c r="K115" s="38"/>
      <c r="L115" s="38"/>
    </row>
    <row r="116" spans="1:12" x14ac:dyDescent="0.3">
      <c r="A116" s="104" t="s">
        <v>31</v>
      </c>
      <c r="B116" s="106" t="s">
        <v>241</v>
      </c>
      <c r="C116" s="107"/>
      <c r="D116" s="108"/>
      <c r="E116" s="93"/>
      <c r="F116" s="93"/>
      <c r="G116" s="93"/>
      <c r="H116" s="93"/>
      <c r="I116" s="93"/>
      <c r="J116" s="93"/>
      <c r="K116" s="93"/>
      <c r="L116" s="93"/>
    </row>
    <row r="117" spans="1:12" x14ac:dyDescent="0.3">
      <c r="A117" s="105"/>
      <c r="B117" s="109"/>
      <c r="C117" s="110"/>
      <c r="D117" s="111"/>
      <c r="E117" s="93"/>
      <c r="F117" s="93"/>
      <c r="G117" s="93"/>
      <c r="H117" s="93"/>
      <c r="I117" s="93"/>
      <c r="J117" s="93"/>
      <c r="K117" s="93"/>
      <c r="L117" s="93"/>
    </row>
    <row r="118" spans="1:12" x14ac:dyDescent="0.3">
      <c r="A118" s="112" t="s">
        <v>30</v>
      </c>
      <c r="B118" s="113"/>
      <c r="C118" s="113"/>
      <c r="D118" s="113"/>
      <c r="E118" s="113"/>
      <c r="F118" s="113"/>
      <c r="G118" s="113"/>
      <c r="H118" s="113"/>
      <c r="I118" s="113"/>
      <c r="J118" s="113"/>
      <c r="K118" s="113"/>
      <c r="L118" s="114"/>
    </row>
    <row r="119" spans="1:12" ht="39.6" x14ac:dyDescent="0.3">
      <c r="A119" s="94"/>
      <c r="B119" s="77" t="s">
        <v>23</v>
      </c>
      <c r="C119" s="77" t="s">
        <v>24</v>
      </c>
      <c r="D119" s="77" t="s">
        <v>25</v>
      </c>
      <c r="E119" s="77" t="s">
        <v>130</v>
      </c>
      <c r="F119" s="77" t="s">
        <v>131</v>
      </c>
      <c r="G119" s="77" t="s">
        <v>26</v>
      </c>
      <c r="H119" s="77" t="s">
        <v>27</v>
      </c>
      <c r="I119" s="77" t="s">
        <v>145</v>
      </c>
      <c r="J119" s="77" t="s">
        <v>147</v>
      </c>
      <c r="K119" s="77" t="s">
        <v>21</v>
      </c>
      <c r="L119" s="77" t="s">
        <v>22</v>
      </c>
    </row>
    <row r="120" spans="1:12" x14ac:dyDescent="0.3">
      <c r="A120" s="78" t="s">
        <v>23</v>
      </c>
      <c r="B120" s="92"/>
      <c r="C120" s="87">
        <v>1</v>
      </c>
      <c r="D120" s="87">
        <v>5</v>
      </c>
      <c r="E120" s="87">
        <v>5</v>
      </c>
      <c r="F120" s="87">
        <v>5</v>
      </c>
      <c r="G120" s="87">
        <v>5</v>
      </c>
      <c r="H120" s="87">
        <v>1</v>
      </c>
      <c r="I120" s="87">
        <v>5</v>
      </c>
      <c r="J120" s="87">
        <v>1</v>
      </c>
      <c r="K120" s="87">
        <f t="shared" ref="K120:K128" si="14">SUM(B120:J120)</f>
        <v>28</v>
      </c>
      <c r="L120" s="95">
        <f t="shared" ref="L120:L128" si="15">K120/$K$129</f>
        <v>0.20588235294117646</v>
      </c>
    </row>
    <row r="121" spans="1:12" x14ac:dyDescent="0.3">
      <c r="A121" s="78" t="s">
        <v>24</v>
      </c>
      <c r="B121" s="87">
        <v>1</v>
      </c>
      <c r="C121" s="92"/>
      <c r="D121" s="87">
        <v>5</v>
      </c>
      <c r="E121" s="87">
        <v>5</v>
      </c>
      <c r="F121" s="87">
        <v>5</v>
      </c>
      <c r="G121" s="87">
        <v>5</v>
      </c>
      <c r="H121" s="87">
        <v>1</v>
      </c>
      <c r="I121" s="87">
        <v>5</v>
      </c>
      <c r="J121" s="87">
        <v>1</v>
      </c>
      <c r="K121" s="87">
        <f t="shared" si="14"/>
        <v>28</v>
      </c>
      <c r="L121" s="95">
        <f t="shared" si="15"/>
        <v>0.20588235294117646</v>
      </c>
    </row>
    <row r="122" spans="1:12" x14ac:dyDescent="0.3">
      <c r="A122" s="78" t="s">
        <v>25</v>
      </c>
      <c r="B122" s="87">
        <v>0.2</v>
      </c>
      <c r="C122" s="87">
        <v>0.2</v>
      </c>
      <c r="D122" s="92"/>
      <c r="E122" s="87">
        <v>1</v>
      </c>
      <c r="F122" s="87">
        <v>1</v>
      </c>
      <c r="G122" s="87">
        <v>1</v>
      </c>
      <c r="H122" s="87">
        <v>0.2</v>
      </c>
      <c r="I122" s="87">
        <v>1</v>
      </c>
      <c r="J122" s="87">
        <v>0.2</v>
      </c>
      <c r="K122" s="87">
        <f t="shared" si="14"/>
        <v>4.8</v>
      </c>
      <c r="L122" s="95">
        <f t="shared" si="15"/>
        <v>3.5294117647058823E-2</v>
      </c>
    </row>
    <row r="123" spans="1:12" x14ac:dyDescent="0.3">
      <c r="A123" s="78" t="s">
        <v>130</v>
      </c>
      <c r="B123" s="87">
        <v>0.2</v>
      </c>
      <c r="C123" s="87">
        <v>0.2</v>
      </c>
      <c r="D123" s="87">
        <v>1</v>
      </c>
      <c r="E123" s="92"/>
      <c r="F123" s="87">
        <v>1</v>
      </c>
      <c r="G123" s="87">
        <v>1</v>
      </c>
      <c r="H123" s="87">
        <v>0.2</v>
      </c>
      <c r="I123" s="87">
        <v>1</v>
      </c>
      <c r="J123" s="87">
        <v>0.2</v>
      </c>
      <c r="K123" s="87">
        <f t="shared" si="14"/>
        <v>4.8</v>
      </c>
      <c r="L123" s="95">
        <f t="shared" si="15"/>
        <v>3.5294117647058823E-2</v>
      </c>
    </row>
    <row r="124" spans="1:12" x14ac:dyDescent="0.3">
      <c r="A124" s="78" t="s">
        <v>131</v>
      </c>
      <c r="B124" s="87">
        <v>0.2</v>
      </c>
      <c r="C124" s="87">
        <v>0.2</v>
      </c>
      <c r="D124" s="87">
        <v>1</v>
      </c>
      <c r="E124" s="87">
        <v>1</v>
      </c>
      <c r="F124" s="92"/>
      <c r="G124" s="87">
        <v>1</v>
      </c>
      <c r="H124" s="87">
        <v>0.2</v>
      </c>
      <c r="I124" s="87">
        <v>1</v>
      </c>
      <c r="J124" s="87">
        <v>0.2</v>
      </c>
      <c r="K124" s="87">
        <f t="shared" si="14"/>
        <v>4.8</v>
      </c>
      <c r="L124" s="95">
        <f t="shared" si="15"/>
        <v>3.5294117647058823E-2</v>
      </c>
    </row>
    <row r="125" spans="1:12" x14ac:dyDescent="0.3">
      <c r="A125" s="78" t="s">
        <v>26</v>
      </c>
      <c r="B125" s="87">
        <v>0.2</v>
      </c>
      <c r="C125" s="87">
        <v>0.2</v>
      </c>
      <c r="D125" s="87">
        <v>1</v>
      </c>
      <c r="E125" s="87">
        <v>1</v>
      </c>
      <c r="F125" s="87">
        <v>1</v>
      </c>
      <c r="G125" s="92"/>
      <c r="H125" s="87">
        <v>0.2</v>
      </c>
      <c r="I125" s="87">
        <v>1</v>
      </c>
      <c r="J125" s="87">
        <v>0.2</v>
      </c>
      <c r="K125" s="87">
        <f t="shared" si="14"/>
        <v>4.8</v>
      </c>
      <c r="L125" s="95">
        <f t="shared" si="15"/>
        <v>3.5294117647058823E-2</v>
      </c>
    </row>
    <row r="126" spans="1:12" x14ac:dyDescent="0.3">
      <c r="A126" s="78" t="s">
        <v>27</v>
      </c>
      <c r="B126" s="87">
        <v>1</v>
      </c>
      <c r="C126" s="87">
        <v>1</v>
      </c>
      <c r="D126" s="87">
        <v>5</v>
      </c>
      <c r="E126" s="87">
        <v>5</v>
      </c>
      <c r="F126" s="87">
        <v>5</v>
      </c>
      <c r="G126" s="87">
        <v>5</v>
      </c>
      <c r="H126" s="92"/>
      <c r="I126" s="87">
        <v>5</v>
      </c>
      <c r="J126" s="87">
        <v>1</v>
      </c>
      <c r="K126" s="87">
        <f t="shared" si="14"/>
        <v>28</v>
      </c>
      <c r="L126" s="95">
        <f t="shared" si="15"/>
        <v>0.20588235294117646</v>
      </c>
    </row>
    <row r="127" spans="1:12" x14ac:dyDescent="0.3">
      <c r="A127" s="78" t="s">
        <v>145</v>
      </c>
      <c r="B127" s="87">
        <v>0.2</v>
      </c>
      <c r="C127" s="87">
        <v>0.2</v>
      </c>
      <c r="D127" s="87">
        <v>1</v>
      </c>
      <c r="E127" s="87">
        <v>1</v>
      </c>
      <c r="F127" s="87">
        <v>1</v>
      </c>
      <c r="G127" s="87">
        <v>1</v>
      </c>
      <c r="H127" s="87">
        <v>0.2</v>
      </c>
      <c r="I127" s="92"/>
      <c r="J127" s="87">
        <v>0.2</v>
      </c>
      <c r="K127" s="87">
        <f t="shared" si="14"/>
        <v>4.8000000000000007</v>
      </c>
      <c r="L127" s="95">
        <f t="shared" si="15"/>
        <v>3.529411764705883E-2</v>
      </c>
    </row>
    <row r="128" spans="1:12" ht="14.4" customHeight="1" x14ac:dyDescent="0.3">
      <c r="A128" s="78" t="s">
        <v>147</v>
      </c>
      <c r="B128" s="87">
        <v>1</v>
      </c>
      <c r="C128" s="87">
        <v>1</v>
      </c>
      <c r="D128" s="87">
        <v>5</v>
      </c>
      <c r="E128" s="87">
        <v>5</v>
      </c>
      <c r="F128" s="87">
        <v>5</v>
      </c>
      <c r="G128" s="87">
        <v>5</v>
      </c>
      <c r="H128" s="87">
        <v>1</v>
      </c>
      <c r="I128" s="87">
        <v>5</v>
      </c>
      <c r="J128" s="92"/>
      <c r="K128" s="87">
        <f t="shared" si="14"/>
        <v>28</v>
      </c>
      <c r="L128" s="95">
        <f t="shared" si="15"/>
        <v>0.20588235294117646</v>
      </c>
    </row>
    <row r="129" spans="1:12" x14ac:dyDescent="0.3">
      <c r="A129" s="115" t="s">
        <v>21</v>
      </c>
      <c r="B129" s="115"/>
      <c r="C129" s="115"/>
      <c r="D129" s="115"/>
      <c r="E129" s="115"/>
      <c r="F129" s="115"/>
      <c r="G129" s="115"/>
      <c r="H129" s="115"/>
      <c r="I129" s="115"/>
      <c r="J129" s="115"/>
      <c r="K129" s="87">
        <f>SUM(K120:K128)</f>
        <v>136</v>
      </c>
      <c r="L129" s="95">
        <f>SUM(L120:L128)</f>
        <v>1</v>
      </c>
    </row>
    <row r="131" spans="1:12" ht="14.4" customHeight="1" x14ac:dyDescent="0.3">
      <c r="A131" s="104" t="s">
        <v>31</v>
      </c>
      <c r="B131" s="106" t="s">
        <v>242</v>
      </c>
      <c r="C131" s="107"/>
      <c r="D131" s="108"/>
      <c r="E131" s="93"/>
      <c r="F131" s="93"/>
      <c r="G131" s="93"/>
      <c r="H131" s="93"/>
      <c r="I131" s="93"/>
      <c r="J131" s="93"/>
      <c r="K131" s="93"/>
      <c r="L131" s="93"/>
    </row>
    <row r="132" spans="1:12" x14ac:dyDescent="0.3">
      <c r="A132" s="105"/>
      <c r="B132" s="109"/>
      <c r="C132" s="110"/>
      <c r="D132" s="111"/>
      <c r="E132" s="93"/>
      <c r="F132" s="93"/>
      <c r="G132" s="93"/>
      <c r="H132" s="93"/>
      <c r="I132" s="93"/>
      <c r="J132" s="93"/>
      <c r="K132" s="93"/>
      <c r="L132" s="93"/>
    </row>
    <row r="133" spans="1:12" ht="14.4" customHeight="1" x14ac:dyDescent="0.3">
      <c r="A133" s="112" t="s">
        <v>30</v>
      </c>
      <c r="B133" s="113"/>
      <c r="C133" s="113"/>
      <c r="D133" s="113"/>
      <c r="E133" s="113"/>
      <c r="F133" s="113"/>
      <c r="G133" s="113"/>
      <c r="H133" s="113"/>
      <c r="I133" s="113"/>
      <c r="J133" s="113"/>
      <c r="K133" s="113"/>
      <c r="L133" s="114"/>
    </row>
    <row r="134" spans="1:12" ht="39.6" x14ac:dyDescent="0.3">
      <c r="A134" s="94"/>
      <c r="B134" s="77" t="s">
        <v>23</v>
      </c>
      <c r="C134" s="77" t="s">
        <v>24</v>
      </c>
      <c r="D134" s="77" t="s">
        <v>25</v>
      </c>
      <c r="E134" s="77" t="s">
        <v>130</v>
      </c>
      <c r="F134" s="77" t="s">
        <v>131</v>
      </c>
      <c r="G134" s="77" t="s">
        <v>26</v>
      </c>
      <c r="H134" s="77" t="s">
        <v>27</v>
      </c>
      <c r="I134" s="77" t="s">
        <v>145</v>
      </c>
      <c r="J134" s="77" t="s">
        <v>147</v>
      </c>
      <c r="K134" s="77" t="s">
        <v>21</v>
      </c>
      <c r="L134" s="77" t="s">
        <v>22</v>
      </c>
    </row>
    <row r="135" spans="1:12" x14ac:dyDescent="0.3">
      <c r="A135" s="78" t="s">
        <v>23</v>
      </c>
      <c r="B135" s="92"/>
      <c r="C135" s="87">
        <v>1</v>
      </c>
      <c r="D135" s="87">
        <v>1</v>
      </c>
      <c r="E135" s="87">
        <v>1</v>
      </c>
      <c r="F135" s="87">
        <v>1</v>
      </c>
      <c r="G135" s="87">
        <v>0.2</v>
      </c>
      <c r="H135" s="87">
        <v>0.2</v>
      </c>
      <c r="I135" s="87">
        <v>1</v>
      </c>
      <c r="J135" s="87">
        <v>1</v>
      </c>
      <c r="K135" s="87">
        <f t="shared" ref="K135:K143" si="16">SUM(B135:J135)</f>
        <v>6.4</v>
      </c>
      <c r="L135" s="95">
        <f>K135/$K$144</f>
        <v>5.4794520547945202E-2</v>
      </c>
    </row>
    <row r="136" spans="1:12" x14ac:dyDescent="0.3">
      <c r="A136" s="78" t="s">
        <v>24</v>
      </c>
      <c r="B136" s="87">
        <v>1</v>
      </c>
      <c r="C136" s="92"/>
      <c r="D136" s="87">
        <v>1</v>
      </c>
      <c r="E136" s="87">
        <v>1</v>
      </c>
      <c r="F136" s="87">
        <v>1</v>
      </c>
      <c r="G136" s="87">
        <v>0.2</v>
      </c>
      <c r="H136" s="87">
        <v>0.2</v>
      </c>
      <c r="I136" s="87">
        <v>1</v>
      </c>
      <c r="J136" s="87">
        <v>1</v>
      </c>
      <c r="K136" s="87">
        <f t="shared" si="16"/>
        <v>6.4</v>
      </c>
      <c r="L136" s="95">
        <f t="shared" ref="L136:L143" si="17">K136/$K$144</f>
        <v>5.4794520547945202E-2</v>
      </c>
    </row>
    <row r="137" spans="1:12" x14ac:dyDescent="0.3">
      <c r="A137" s="78" t="s">
        <v>25</v>
      </c>
      <c r="B137" s="87">
        <v>1</v>
      </c>
      <c r="C137" s="87">
        <v>1</v>
      </c>
      <c r="D137" s="92"/>
      <c r="E137" s="87">
        <v>1</v>
      </c>
      <c r="F137" s="87">
        <v>1</v>
      </c>
      <c r="G137" s="87">
        <v>0.2</v>
      </c>
      <c r="H137" s="87">
        <v>0.2</v>
      </c>
      <c r="I137" s="87">
        <v>1</v>
      </c>
      <c r="J137" s="87">
        <v>1</v>
      </c>
      <c r="K137" s="87">
        <f t="shared" si="16"/>
        <v>6.4</v>
      </c>
      <c r="L137" s="95">
        <f t="shared" si="17"/>
        <v>5.4794520547945202E-2</v>
      </c>
    </row>
    <row r="138" spans="1:12" x14ac:dyDescent="0.3">
      <c r="A138" s="78" t="s">
        <v>130</v>
      </c>
      <c r="B138" s="87">
        <v>1</v>
      </c>
      <c r="C138" s="87">
        <v>1</v>
      </c>
      <c r="D138" s="87">
        <v>1</v>
      </c>
      <c r="E138" s="92"/>
      <c r="F138" s="87">
        <v>1</v>
      </c>
      <c r="G138" s="87">
        <v>0.2</v>
      </c>
      <c r="H138" s="87">
        <v>0.2</v>
      </c>
      <c r="I138" s="87">
        <v>1</v>
      </c>
      <c r="J138" s="87">
        <v>1</v>
      </c>
      <c r="K138" s="87">
        <f t="shared" si="16"/>
        <v>6.4</v>
      </c>
      <c r="L138" s="95">
        <f t="shared" si="17"/>
        <v>5.4794520547945202E-2</v>
      </c>
    </row>
    <row r="139" spans="1:12" x14ac:dyDescent="0.3">
      <c r="A139" s="78" t="s">
        <v>131</v>
      </c>
      <c r="B139" s="87">
        <v>1</v>
      </c>
      <c r="C139" s="87">
        <v>1</v>
      </c>
      <c r="D139" s="87">
        <v>1</v>
      </c>
      <c r="E139" s="87">
        <v>1</v>
      </c>
      <c r="F139" s="92"/>
      <c r="G139" s="87">
        <v>0.2</v>
      </c>
      <c r="H139" s="87">
        <v>0.2</v>
      </c>
      <c r="I139" s="87">
        <v>1</v>
      </c>
      <c r="J139" s="87">
        <v>1</v>
      </c>
      <c r="K139" s="87">
        <f t="shared" si="16"/>
        <v>6.4</v>
      </c>
      <c r="L139" s="95">
        <f t="shared" si="17"/>
        <v>5.4794520547945202E-2</v>
      </c>
    </row>
    <row r="140" spans="1:12" x14ac:dyDescent="0.3">
      <c r="A140" s="78" t="s">
        <v>26</v>
      </c>
      <c r="B140" s="87">
        <v>5</v>
      </c>
      <c r="C140" s="87">
        <v>5</v>
      </c>
      <c r="D140" s="87">
        <v>5</v>
      </c>
      <c r="E140" s="87">
        <v>5</v>
      </c>
      <c r="F140" s="87">
        <v>5</v>
      </c>
      <c r="G140" s="92"/>
      <c r="H140" s="87">
        <v>1</v>
      </c>
      <c r="I140" s="87">
        <v>5</v>
      </c>
      <c r="J140" s="87">
        <v>5</v>
      </c>
      <c r="K140" s="87">
        <f t="shared" si="16"/>
        <v>36</v>
      </c>
      <c r="L140" s="95">
        <f t="shared" si="17"/>
        <v>0.30821917808219174</v>
      </c>
    </row>
    <row r="141" spans="1:12" x14ac:dyDescent="0.3">
      <c r="A141" s="78" t="s">
        <v>27</v>
      </c>
      <c r="B141" s="87">
        <v>5</v>
      </c>
      <c r="C141" s="87">
        <v>5</v>
      </c>
      <c r="D141" s="87">
        <v>5</v>
      </c>
      <c r="E141" s="87">
        <v>5</v>
      </c>
      <c r="F141" s="87">
        <v>5</v>
      </c>
      <c r="G141" s="87">
        <v>1</v>
      </c>
      <c r="H141" s="92"/>
      <c r="I141" s="87">
        <v>5</v>
      </c>
      <c r="J141" s="87">
        <v>5</v>
      </c>
      <c r="K141" s="87">
        <f t="shared" si="16"/>
        <v>36</v>
      </c>
      <c r="L141" s="95">
        <f t="shared" si="17"/>
        <v>0.30821917808219174</v>
      </c>
    </row>
    <row r="142" spans="1:12" x14ac:dyDescent="0.3">
      <c r="A142" s="78" t="s">
        <v>145</v>
      </c>
      <c r="B142" s="87">
        <v>1</v>
      </c>
      <c r="C142" s="87">
        <v>1</v>
      </c>
      <c r="D142" s="87">
        <v>1</v>
      </c>
      <c r="E142" s="87">
        <v>1</v>
      </c>
      <c r="F142" s="87">
        <v>1</v>
      </c>
      <c r="G142" s="87">
        <v>0.2</v>
      </c>
      <c r="H142" s="87">
        <v>0.2</v>
      </c>
      <c r="I142" s="92"/>
      <c r="J142" s="87">
        <v>1</v>
      </c>
      <c r="K142" s="87">
        <f t="shared" si="16"/>
        <v>6.4</v>
      </c>
      <c r="L142" s="95">
        <f t="shared" si="17"/>
        <v>5.4794520547945202E-2</v>
      </c>
    </row>
    <row r="143" spans="1:12" x14ac:dyDescent="0.3">
      <c r="A143" s="78" t="s">
        <v>147</v>
      </c>
      <c r="B143" s="87">
        <v>1</v>
      </c>
      <c r="C143" s="87">
        <v>1</v>
      </c>
      <c r="D143" s="87">
        <v>1</v>
      </c>
      <c r="E143" s="87">
        <v>1</v>
      </c>
      <c r="F143" s="87">
        <v>1</v>
      </c>
      <c r="G143" s="87">
        <v>0.2</v>
      </c>
      <c r="H143" s="87">
        <v>0.2</v>
      </c>
      <c r="I143" s="87">
        <v>1</v>
      </c>
      <c r="J143" s="92"/>
      <c r="K143" s="87">
        <f t="shared" si="16"/>
        <v>6.4</v>
      </c>
      <c r="L143" s="95">
        <f t="shared" si="17"/>
        <v>5.4794520547945202E-2</v>
      </c>
    </row>
    <row r="144" spans="1:12" x14ac:dyDescent="0.3">
      <c r="A144" s="115" t="s">
        <v>21</v>
      </c>
      <c r="B144" s="115"/>
      <c r="C144" s="115"/>
      <c r="D144" s="115"/>
      <c r="E144" s="115"/>
      <c r="F144" s="115"/>
      <c r="G144" s="115"/>
      <c r="H144" s="115"/>
      <c r="I144" s="115"/>
      <c r="J144" s="115"/>
      <c r="K144" s="87">
        <f>SUM(K135:K143)</f>
        <v>116.80000000000001</v>
      </c>
      <c r="L144" s="95">
        <f>SUM(L135:L143)</f>
        <v>0.99999999999999978</v>
      </c>
    </row>
    <row r="146" spans="1:12" x14ac:dyDescent="0.3">
      <c r="A146" s="104" t="s">
        <v>31</v>
      </c>
      <c r="B146" s="106" t="s">
        <v>243</v>
      </c>
      <c r="C146" s="107"/>
      <c r="D146" s="108"/>
      <c r="E146" s="93"/>
      <c r="F146" s="93"/>
      <c r="G146" s="93"/>
      <c r="H146" s="93"/>
      <c r="I146" s="93"/>
      <c r="J146" s="93"/>
      <c r="K146" s="93"/>
      <c r="L146" s="93"/>
    </row>
    <row r="147" spans="1:12" x14ac:dyDescent="0.3">
      <c r="A147" s="105"/>
      <c r="B147" s="109"/>
      <c r="C147" s="110"/>
      <c r="D147" s="111"/>
      <c r="E147" s="93"/>
      <c r="F147" s="93"/>
      <c r="G147" s="93"/>
      <c r="H147" s="93"/>
      <c r="I147" s="93"/>
      <c r="J147" s="93"/>
      <c r="K147" s="93"/>
      <c r="L147" s="93"/>
    </row>
    <row r="148" spans="1:12" x14ac:dyDescent="0.3">
      <c r="A148" s="112" t="s">
        <v>30</v>
      </c>
      <c r="B148" s="113"/>
      <c r="C148" s="113"/>
      <c r="D148" s="113"/>
      <c r="E148" s="113"/>
      <c r="F148" s="113"/>
      <c r="G148" s="113"/>
      <c r="H148" s="113"/>
      <c r="I148" s="113"/>
      <c r="J148" s="113"/>
      <c r="K148" s="113"/>
      <c r="L148" s="114"/>
    </row>
    <row r="149" spans="1:12" ht="39.6" x14ac:dyDescent="0.3">
      <c r="A149" s="94"/>
      <c r="B149" s="77" t="s">
        <v>23</v>
      </c>
      <c r="C149" s="77" t="s">
        <v>24</v>
      </c>
      <c r="D149" s="77" t="s">
        <v>25</v>
      </c>
      <c r="E149" s="77" t="s">
        <v>130</v>
      </c>
      <c r="F149" s="77" t="s">
        <v>131</v>
      </c>
      <c r="G149" s="77" t="s">
        <v>26</v>
      </c>
      <c r="H149" s="77" t="s">
        <v>27</v>
      </c>
      <c r="I149" s="77" t="s">
        <v>145</v>
      </c>
      <c r="J149" s="77" t="s">
        <v>147</v>
      </c>
      <c r="K149" s="77" t="s">
        <v>21</v>
      </c>
      <c r="L149" s="77" t="s">
        <v>22</v>
      </c>
    </row>
    <row r="150" spans="1:12" x14ac:dyDescent="0.3">
      <c r="A150" s="78" t="s">
        <v>23</v>
      </c>
      <c r="B150" s="92"/>
      <c r="C150" s="87">
        <v>1</v>
      </c>
      <c r="D150" s="87">
        <v>1</v>
      </c>
      <c r="E150" s="87">
        <v>5</v>
      </c>
      <c r="F150" s="87">
        <v>1</v>
      </c>
      <c r="G150" s="87">
        <v>1</v>
      </c>
      <c r="H150" s="87">
        <v>1</v>
      </c>
      <c r="I150" s="87">
        <v>1</v>
      </c>
      <c r="J150" s="87">
        <v>1</v>
      </c>
      <c r="K150" s="87">
        <f t="shared" ref="K150:K158" si="18">SUM(B150:J150)</f>
        <v>12</v>
      </c>
      <c r="L150" s="95">
        <f>K150/$K$159</f>
        <v>0.12295081967213116</v>
      </c>
    </row>
    <row r="151" spans="1:12" x14ac:dyDescent="0.3">
      <c r="A151" s="78" t="s">
        <v>24</v>
      </c>
      <c r="B151" s="87">
        <v>1</v>
      </c>
      <c r="C151" s="92"/>
      <c r="D151" s="87">
        <v>1</v>
      </c>
      <c r="E151" s="87">
        <v>5</v>
      </c>
      <c r="F151" s="87">
        <v>1</v>
      </c>
      <c r="G151" s="87">
        <v>1</v>
      </c>
      <c r="H151" s="87">
        <v>1</v>
      </c>
      <c r="I151" s="87">
        <v>1</v>
      </c>
      <c r="J151" s="87">
        <v>1</v>
      </c>
      <c r="K151" s="87">
        <f t="shared" si="18"/>
        <v>12</v>
      </c>
      <c r="L151" s="95">
        <f t="shared" ref="L151:L158" si="19">K151/$K$159</f>
        <v>0.12295081967213116</v>
      </c>
    </row>
    <row r="152" spans="1:12" x14ac:dyDescent="0.3">
      <c r="A152" s="78" t="s">
        <v>25</v>
      </c>
      <c r="B152" s="87">
        <v>1</v>
      </c>
      <c r="C152" s="87">
        <v>1</v>
      </c>
      <c r="D152" s="92"/>
      <c r="E152" s="87">
        <v>5</v>
      </c>
      <c r="F152" s="87">
        <v>1</v>
      </c>
      <c r="G152" s="87">
        <v>1</v>
      </c>
      <c r="H152" s="87">
        <v>1</v>
      </c>
      <c r="I152" s="87">
        <v>1</v>
      </c>
      <c r="J152" s="87">
        <v>1</v>
      </c>
      <c r="K152" s="87">
        <f t="shared" si="18"/>
        <v>12</v>
      </c>
      <c r="L152" s="95">
        <f t="shared" si="19"/>
        <v>0.12295081967213116</v>
      </c>
    </row>
    <row r="153" spans="1:12" x14ac:dyDescent="0.3">
      <c r="A153" s="78" t="s">
        <v>130</v>
      </c>
      <c r="B153" s="87">
        <v>0.2</v>
      </c>
      <c r="C153" s="87">
        <v>0.2</v>
      </c>
      <c r="D153" s="87">
        <v>0.2</v>
      </c>
      <c r="E153" s="92"/>
      <c r="F153" s="87">
        <v>0.2</v>
      </c>
      <c r="G153" s="87">
        <v>0.2</v>
      </c>
      <c r="H153" s="87">
        <v>0.2</v>
      </c>
      <c r="I153" s="87">
        <v>0.2</v>
      </c>
      <c r="J153" s="87">
        <v>0.2</v>
      </c>
      <c r="K153" s="87">
        <f t="shared" si="18"/>
        <v>1.5999999999999999</v>
      </c>
      <c r="L153" s="95">
        <f t="shared" si="19"/>
        <v>1.6393442622950821E-2</v>
      </c>
    </row>
    <row r="154" spans="1:12" x14ac:dyDescent="0.3">
      <c r="A154" s="78" t="s">
        <v>131</v>
      </c>
      <c r="B154" s="87">
        <v>1</v>
      </c>
      <c r="C154" s="87">
        <v>1</v>
      </c>
      <c r="D154" s="87">
        <v>1</v>
      </c>
      <c r="E154" s="87">
        <v>5</v>
      </c>
      <c r="F154" s="92"/>
      <c r="G154" s="87">
        <v>1</v>
      </c>
      <c r="H154" s="87">
        <v>1</v>
      </c>
      <c r="I154" s="87">
        <v>1</v>
      </c>
      <c r="J154" s="87">
        <v>1</v>
      </c>
      <c r="K154" s="87">
        <f t="shared" si="18"/>
        <v>12</v>
      </c>
      <c r="L154" s="95">
        <f t="shared" si="19"/>
        <v>0.12295081967213116</v>
      </c>
    </row>
    <row r="155" spans="1:12" x14ac:dyDescent="0.3">
      <c r="A155" s="78" t="s">
        <v>26</v>
      </c>
      <c r="B155" s="87">
        <v>1</v>
      </c>
      <c r="C155" s="87">
        <v>1</v>
      </c>
      <c r="D155" s="87">
        <v>1</v>
      </c>
      <c r="E155" s="87">
        <v>5</v>
      </c>
      <c r="F155" s="87">
        <v>1</v>
      </c>
      <c r="G155" s="92"/>
      <c r="H155" s="87">
        <v>1</v>
      </c>
      <c r="I155" s="87">
        <v>1</v>
      </c>
      <c r="J155" s="87">
        <v>1</v>
      </c>
      <c r="K155" s="87">
        <f t="shared" si="18"/>
        <v>12</v>
      </c>
      <c r="L155" s="95">
        <f t="shared" si="19"/>
        <v>0.12295081967213116</v>
      </c>
    </row>
    <row r="156" spans="1:12" x14ac:dyDescent="0.3">
      <c r="A156" s="78" t="s">
        <v>27</v>
      </c>
      <c r="B156" s="87">
        <v>1</v>
      </c>
      <c r="C156" s="87">
        <v>1</v>
      </c>
      <c r="D156" s="87">
        <v>1</v>
      </c>
      <c r="E156" s="87">
        <v>5</v>
      </c>
      <c r="F156" s="87">
        <v>1</v>
      </c>
      <c r="G156" s="87">
        <v>1</v>
      </c>
      <c r="H156" s="92"/>
      <c r="I156" s="87">
        <v>1</v>
      </c>
      <c r="J156" s="87">
        <v>1</v>
      </c>
      <c r="K156" s="87">
        <f t="shared" si="18"/>
        <v>12</v>
      </c>
      <c r="L156" s="95">
        <f t="shared" si="19"/>
        <v>0.12295081967213116</v>
      </c>
    </row>
    <row r="157" spans="1:12" x14ac:dyDescent="0.3">
      <c r="A157" s="78" t="s">
        <v>145</v>
      </c>
      <c r="B157" s="87">
        <v>1</v>
      </c>
      <c r="C157" s="87">
        <v>1</v>
      </c>
      <c r="D157" s="87">
        <v>1</v>
      </c>
      <c r="E157" s="87">
        <v>5</v>
      </c>
      <c r="F157" s="87">
        <v>1</v>
      </c>
      <c r="G157" s="87">
        <v>1</v>
      </c>
      <c r="H157" s="87">
        <v>1</v>
      </c>
      <c r="I157" s="92"/>
      <c r="J157" s="87">
        <v>1</v>
      </c>
      <c r="K157" s="87">
        <f t="shared" si="18"/>
        <v>12</v>
      </c>
      <c r="L157" s="95">
        <f t="shared" si="19"/>
        <v>0.12295081967213116</v>
      </c>
    </row>
    <row r="158" spans="1:12" x14ac:dyDescent="0.3">
      <c r="A158" s="78" t="s">
        <v>147</v>
      </c>
      <c r="B158" s="87">
        <v>1</v>
      </c>
      <c r="C158" s="87">
        <v>1</v>
      </c>
      <c r="D158" s="87">
        <v>1</v>
      </c>
      <c r="E158" s="87">
        <v>5</v>
      </c>
      <c r="F158" s="87">
        <v>1</v>
      </c>
      <c r="G158" s="87">
        <v>1</v>
      </c>
      <c r="H158" s="87">
        <v>1</v>
      </c>
      <c r="I158" s="87">
        <v>1</v>
      </c>
      <c r="J158" s="92"/>
      <c r="K158" s="87">
        <f t="shared" si="18"/>
        <v>12</v>
      </c>
      <c r="L158" s="95">
        <f t="shared" si="19"/>
        <v>0.12295081967213116</v>
      </c>
    </row>
    <row r="159" spans="1:12" x14ac:dyDescent="0.3">
      <c r="A159" s="115" t="s">
        <v>21</v>
      </c>
      <c r="B159" s="115"/>
      <c r="C159" s="115"/>
      <c r="D159" s="115"/>
      <c r="E159" s="115"/>
      <c r="F159" s="115"/>
      <c r="G159" s="115"/>
      <c r="H159" s="115"/>
      <c r="I159" s="115"/>
      <c r="J159" s="115"/>
      <c r="K159" s="87">
        <f>SUM(K150:K158)</f>
        <v>97.6</v>
      </c>
      <c r="L159" s="95">
        <f>SUM(L150:L158)</f>
        <v>1</v>
      </c>
    </row>
    <row r="161" spans="1:12" x14ac:dyDescent="0.3">
      <c r="A161" s="104" t="s">
        <v>31</v>
      </c>
      <c r="B161" s="106" t="s">
        <v>244</v>
      </c>
      <c r="C161" s="107"/>
      <c r="D161" s="108"/>
      <c r="E161" s="93"/>
      <c r="F161" s="93"/>
      <c r="G161" s="93"/>
      <c r="H161" s="93"/>
      <c r="I161" s="93"/>
      <c r="J161" s="93"/>
      <c r="K161" s="93"/>
      <c r="L161" s="93"/>
    </row>
    <row r="162" spans="1:12" x14ac:dyDescent="0.3">
      <c r="A162" s="105"/>
      <c r="B162" s="109"/>
      <c r="C162" s="110"/>
      <c r="D162" s="111"/>
      <c r="E162" s="93"/>
      <c r="F162" s="93"/>
      <c r="G162" s="93"/>
      <c r="H162" s="93"/>
      <c r="I162" s="93"/>
      <c r="J162" s="93"/>
      <c r="K162" s="93"/>
      <c r="L162" s="93"/>
    </row>
    <row r="163" spans="1:12" x14ac:dyDescent="0.3">
      <c r="A163" s="112" t="s">
        <v>30</v>
      </c>
      <c r="B163" s="113"/>
      <c r="C163" s="113"/>
      <c r="D163" s="113"/>
      <c r="E163" s="113"/>
      <c r="F163" s="113"/>
      <c r="G163" s="113"/>
      <c r="H163" s="113"/>
      <c r="I163" s="113"/>
      <c r="J163" s="113"/>
      <c r="K163" s="113"/>
      <c r="L163" s="114"/>
    </row>
    <row r="164" spans="1:12" ht="39.6" x14ac:dyDescent="0.3">
      <c r="A164" s="94"/>
      <c r="B164" s="77" t="s">
        <v>23</v>
      </c>
      <c r="C164" s="77" t="s">
        <v>24</v>
      </c>
      <c r="D164" s="77" t="s">
        <v>25</v>
      </c>
      <c r="E164" s="77" t="s">
        <v>130</v>
      </c>
      <c r="F164" s="77" t="s">
        <v>131</v>
      </c>
      <c r="G164" s="77" t="s">
        <v>26</v>
      </c>
      <c r="H164" s="77" t="s">
        <v>27</v>
      </c>
      <c r="I164" s="77" t="s">
        <v>145</v>
      </c>
      <c r="J164" s="77" t="s">
        <v>147</v>
      </c>
      <c r="K164" s="77" t="s">
        <v>21</v>
      </c>
      <c r="L164" s="77" t="s">
        <v>22</v>
      </c>
    </row>
    <row r="165" spans="1:12" x14ac:dyDescent="0.3">
      <c r="A165" s="78" t="s">
        <v>23</v>
      </c>
      <c r="B165" s="92"/>
      <c r="C165" s="87">
        <v>1</v>
      </c>
      <c r="D165" s="87">
        <v>0.2</v>
      </c>
      <c r="E165" s="87">
        <v>1</v>
      </c>
      <c r="F165" s="87">
        <v>0.2</v>
      </c>
      <c r="G165" s="87">
        <v>0.2</v>
      </c>
      <c r="H165" s="87">
        <v>0.2</v>
      </c>
      <c r="I165" s="87">
        <v>1</v>
      </c>
      <c r="J165" s="87">
        <v>1</v>
      </c>
      <c r="K165" s="87">
        <f t="shared" ref="K165:K173" si="20">SUM(B165:J165)</f>
        <v>4.8000000000000007</v>
      </c>
      <c r="L165" s="95">
        <f>K165/$K$174</f>
        <v>3.5294117647058823E-2</v>
      </c>
    </row>
    <row r="166" spans="1:12" x14ac:dyDescent="0.3">
      <c r="A166" s="78" t="s">
        <v>24</v>
      </c>
      <c r="B166" s="87">
        <v>1</v>
      </c>
      <c r="C166" s="92"/>
      <c r="D166" s="87">
        <v>0.2</v>
      </c>
      <c r="E166" s="87">
        <v>1</v>
      </c>
      <c r="F166" s="87">
        <v>0.2</v>
      </c>
      <c r="G166" s="87">
        <v>0.2</v>
      </c>
      <c r="H166" s="87">
        <v>0.2</v>
      </c>
      <c r="I166" s="87">
        <v>1</v>
      </c>
      <c r="J166" s="87">
        <v>1</v>
      </c>
      <c r="K166" s="87">
        <f t="shared" si="20"/>
        <v>4.8000000000000007</v>
      </c>
      <c r="L166" s="95">
        <f t="shared" ref="L166:L173" si="21">K166/$K$174</f>
        <v>3.5294117647058823E-2</v>
      </c>
    </row>
    <row r="167" spans="1:12" x14ac:dyDescent="0.3">
      <c r="A167" s="78" t="s">
        <v>25</v>
      </c>
      <c r="B167" s="87">
        <v>5</v>
      </c>
      <c r="C167" s="87">
        <v>5</v>
      </c>
      <c r="D167" s="92"/>
      <c r="E167" s="87">
        <v>5</v>
      </c>
      <c r="F167" s="87">
        <v>1</v>
      </c>
      <c r="G167" s="87">
        <v>1</v>
      </c>
      <c r="H167" s="87">
        <v>1</v>
      </c>
      <c r="I167" s="87">
        <v>5</v>
      </c>
      <c r="J167" s="87">
        <v>5</v>
      </c>
      <c r="K167" s="87">
        <f t="shared" si="20"/>
        <v>28</v>
      </c>
      <c r="L167" s="95">
        <f t="shared" si="21"/>
        <v>0.20588235294117643</v>
      </c>
    </row>
    <row r="168" spans="1:12" x14ac:dyDescent="0.3">
      <c r="A168" s="78" t="s">
        <v>130</v>
      </c>
      <c r="B168" s="87">
        <v>1</v>
      </c>
      <c r="C168" s="87">
        <v>1</v>
      </c>
      <c r="D168" s="87">
        <v>0.2</v>
      </c>
      <c r="E168" s="92"/>
      <c r="F168" s="87">
        <v>0.2</v>
      </c>
      <c r="G168" s="87">
        <v>0.2</v>
      </c>
      <c r="H168" s="87">
        <v>0.2</v>
      </c>
      <c r="I168" s="87">
        <v>1</v>
      </c>
      <c r="J168" s="87">
        <v>1</v>
      </c>
      <c r="K168" s="87">
        <f t="shared" si="20"/>
        <v>4.8000000000000007</v>
      </c>
      <c r="L168" s="95">
        <f t="shared" si="21"/>
        <v>3.5294117647058823E-2</v>
      </c>
    </row>
    <row r="169" spans="1:12" x14ac:dyDescent="0.3">
      <c r="A169" s="78" t="s">
        <v>131</v>
      </c>
      <c r="B169" s="87">
        <v>5</v>
      </c>
      <c r="C169" s="87">
        <v>5</v>
      </c>
      <c r="D169" s="87">
        <v>1</v>
      </c>
      <c r="E169" s="87">
        <v>5</v>
      </c>
      <c r="F169" s="92"/>
      <c r="G169" s="87">
        <v>1</v>
      </c>
      <c r="H169" s="87">
        <v>1</v>
      </c>
      <c r="I169" s="87">
        <v>5</v>
      </c>
      <c r="J169" s="87">
        <v>5</v>
      </c>
      <c r="K169" s="87">
        <f t="shared" si="20"/>
        <v>28</v>
      </c>
      <c r="L169" s="95">
        <f t="shared" si="21"/>
        <v>0.20588235294117643</v>
      </c>
    </row>
    <row r="170" spans="1:12" x14ac:dyDescent="0.3">
      <c r="A170" s="78" t="s">
        <v>26</v>
      </c>
      <c r="B170" s="87">
        <v>5</v>
      </c>
      <c r="C170" s="87">
        <v>5</v>
      </c>
      <c r="D170" s="87">
        <v>1</v>
      </c>
      <c r="E170" s="87">
        <v>5</v>
      </c>
      <c r="F170" s="87">
        <v>1</v>
      </c>
      <c r="G170" s="92"/>
      <c r="H170" s="87">
        <v>1</v>
      </c>
      <c r="I170" s="87">
        <v>5</v>
      </c>
      <c r="J170" s="87">
        <v>5</v>
      </c>
      <c r="K170" s="87">
        <f t="shared" si="20"/>
        <v>28</v>
      </c>
      <c r="L170" s="95">
        <f t="shared" si="21"/>
        <v>0.20588235294117643</v>
      </c>
    </row>
    <row r="171" spans="1:12" x14ac:dyDescent="0.3">
      <c r="A171" s="78" t="s">
        <v>27</v>
      </c>
      <c r="B171" s="87">
        <v>5</v>
      </c>
      <c r="C171" s="87">
        <v>5</v>
      </c>
      <c r="D171" s="87">
        <v>1</v>
      </c>
      <c r="E171" s="87">
        <v>5</v>
      </c>
      <c r="F171" s="87">
        <v>1</v>
      </c>
      <c r="G171" s="87">
        <v>1</v>
      </c>
      <c r="H171" s="92"/>
      <c r="I171" s="87">
        <v>5</v>
      </c>
      <c r="J171" s="87">
        <v>5</v>
      </c>
      <c r="K171" s="87">
        <f t="shared" si="20"/>
        <v>28</v>
      </c>
      <c r="L171" s="95">
        <f t="shared" si="21"/>
        <v>0.20588235294117643</v>
      </c>
    </row>
    <row r="172" spans="1:12" x14ac:dyDescent="0.3">
      <c r="A172" s="78" t="s">
        <v>145</v>
      </c>
      <c r="B172" s="87">
        <v>1</v>
      </c>
      <c r="C172" s="87">
        <v>1</v>
      </c>
      <c r="D172" s="87">
        <v>0.2</v>
      </c>
      <c r="E172" s="87">
        <v>1</v>
      </c>
      <c r="F172" s="87">
        <v>0.2</v>
      </c>
      <c r="G172" s="87">
        <v>0.2</v>
      </c>
      <c r="H172" s="87">
        <v>0.2</v>
      </c>
      <c r="I172" s="92"/>
      <c r="J172" s="87">
        <v>1</v>
      </c>
      <c r="K172" s="87">
        <f t="shared" si="20"/>
        <v>4.8000000000000007</v>
      </c>
      <c r="L172" s="95">
        <f t="shared" si="21"/>
        <v>3.5294117647058823E-2</v>
      </c>
    </row>
    <row r="173" spans="1:12" x14ac:dyDescent="0.3">
      <c r="A173" s="78" t="s">
        <v>147</v>
      </c>
      <c r="B173" s="87">
        <v>1</v>
      </c>
      <c r="C173" s="87">
        <v>1</v>
      </c>
      <c r="D173" s="87">
        <v>0.2</v>
      </c>
      <c r="E173" s="87">
        <v>1</v>
      </c>
      <c r="F173" s="87">
        <v>0.2</v>
      </c>
      <c r="G173" s="87">
        <v>0.2</v>
      </c>
      <c r="H173" s="87">
        <v>0.2</v>
      </c>
      <c r="I173" s="87">
        <v>1</v>
      </c>
      <c r="J173" s="92"/>
      <c r="K173" s="87">
        <f t="shared" si="20"/>
        <v>4.8000000000000007</v>
      </c>
      <c r="L173" s="95">
        <f t="shared" si="21"/>
        <v>3.5294117647058823E-2</v>
      </c>
    </row>
    <row r="174" spans="1:12" x14ac:dyDescent="0.3">
      <c r="A174" s="101" t="s">
        <v>21</v>
      </c>
      <c r="B174" s="102"/>
      <c r="C174" s="102"/>
      <c r="D174" s="102"/>
      <c r="E174" s="102"/>
      <c r="F174" s="102"/>
      <c r="G174" s="102"/>
      <c r="H174" s="102"/>
      <c r="I174" s="102"/>
      <c r="J174" s="103"/>
      <c r="K174" s="87">
        <f>SUM(K165:K173)</f>
        <v>136.00000000000003</v>
      </c>
      <c r="L174" s="95">
        <f>SUM(L165:L173)</f>
        <v>0.99999999999999978</v>
      </c>
    </row>
    <row r="176" spans="1:12" x14ac:dyDescent="0.3">
      <c r="A176" s="104" t="s">
        <v>31</v>
      </c>
      <c r="B176" s="106" t="s">
        <v>245</v>
      </c>
      <c r="C176" s="107"/>
      <c r="D176" s="108"/>
      <c r="E176" s="93"/>
      <c r="F176" s="93"/>
      <c r="G176" s="93"/>
      <c r="H176" s="93"/>
      <c r="I176" s="93"/>
      <c r="J176" s="93"/>
      <c r="K176" s="93"/>
      <c r="L176" s="93"/>
    </row>
    <row r="177" spans="1:12" x14ac:dyDescent="0.3">
      <c r="A177" s="105"/>
      <c r="B177" s="109"/>
      <c r="C177" s="110"/>
      <c r="D177" s="111"/>
      <c r="E177" s="93"/>
      <c r="F177" s="93"/>
      <c r="G177" s="93"/>
      <c r="H177" s="93"/>
      <c r="I177" s="93"/>
      <c r="J177" s="93"/>
      <c r="K177" s="93"/>
      <c r="L177" s="93"/>
    </row>
    <row r="178" spans="1:12" x14ac:dyDescent="0.3">
      <c r="A178" s="112" t="s">
        <v>30</v>
      </c>
      <c r="B178" s="113"/>
      <c r="C178" s="113"/>
      <c r="D178" s="113"/>
      <c r="E178" s="113"/>
      <c r="F178" s="113"/>
      <c r="G178" s="113"/>
      <c r="H178" s="113"/>
      <c r="I178" s="113"/>
      <c r="J178" s="113"/>
      <c r="K178" s="113"/>
      <c r="L178" s="114"/>
    </row>
    <row r="179" spans="1:12" ht="39.6" x14ac:dyDescent="0.3">
      <c r="A179" s="94"/>
      <c r="B179" s="77" t="s">
        <v>23</v>
      </c>
      <c r="C179" s="77" t="s">
        <v>24</v>
      </c>
      <c r="D179" s="77" t="s">
        <v>25</v>
      </c>
      <c r="E179" s="77" t="s">
        <v>130</v>
      </c>
      <c r="F179" s="77" t="s">
        <v>131</v>
      </c>
      <c r="G179" s="77" t="s">
        <v>26</v>
      </c>
      <c r="H179" s="77" t="s">
        <v>27</v>
      </c>
      <c r="I179" s="77" t="s">
        <v>145</v>
      </c>
      <c r="J179" s="77" t="s">
        <v>147</v>
      </c>
      <c r="K179" s="77" t="s">
        <v>21</v>
      </c>
      <c r="L179" s="77" t="s">
        <v>22</v>
      </c>
    </row>
    <row r="180" spans="1:12" x14ac:dyDescent="0.3">
      <c r="A180" s="78" t="s">
        <v>23</v>
      </c>
      <c r="B180" s="92"/>
      <c r="C180" s="87">
        <v>0.2</v>
      </c>
      <c r="D180" s="87">
        <v>0.2</v>
      </c>
      <c r="E180" s="87">
        <v>1</v>
      </c>
      <c r="F180" s="87">
        <v>0.2</v>
      </c>
      <c r="G180" s="87">
        <v>0.2</v>
      </c>
      <c r="H180" s="87">
        <v>0.2</v>
      </c>
      <c r="I180" s="87">
        <v>0.2</v>
      </c>
      <c r="J180" s="87">
        <v>0.2</v>
      </c>
      <c r="K180" s="87">
        <f t="shared" ref="K180:K188" si="22">SUM(B180:J180)</f>
        <v>2.4</v>
      </c>
      <c r="L180" s="95">
        <f>K180/$K$189</f>
        <v>2.0547945205479451E-2</v>
      </c>
    </row>
    <row r="181" spans="1:12" x14ac:dyDescent="0.3">
      <c r="A181" s="78" t="s">
        <v>24</v>
      </c>
      <c r="B181" s="87">
        <v>5</v>
      </c>
      <c r="C181" s="92"/>
      <c r="D181" s="87">
        <v>1</v>
      </c>
      <c r="E181" s="87">
        <v>5</v>
      </c>
      <c r="F181" s="87">
        <v>1</v>
      </c>
      <c r="G181" s="87">
        <v>1</v>
      </c>
      <c r="H181" s="87">
        <v>1</v>
      </c>
      <c r="I181" s="87">
        <v>1</v>
      </c>
      <c r="J181" s="87">
        <v>1</v>
      </c>
      <c r="K181" s="87">
        <f t="shared" si="22"/>
        <v>16</v>
      </c>
      <c r="L181" s="95">
        <f t="shared" ref="L181:L188" si="23">K181/$K$189</f>
        <v>0.13698630136986301</v>
      </c>
    </row>
    <row r="182" spans="1:12" x14ac:dyDescent="0.3">
      <c r="A182" s="78" t="s">
        <v>25</v>
      </c>
      <c r="B182" s="87">
        <v>5</v>
      </c>
      <c r="C182" s="87">
        <v>1</v>
      </c>
      <c r="D182" s="92"/>
      <c r="E182" s="87">
        <v>5</v>
      </c>
      <c r="F182" s="87">
        <v>1</v>
      </c>
      <c r="G182" s="87">
        <v>1</v>
      </c>
      <c r="H182" s="87">
        <v>1</v>
      </c>
      <c r="I182" s="87">
        <v>1</v>
      </c>
      <c r="J182" s="87">
        <v>1</v>
      </c>
      <c r="K182" s="87">
        <f t="shared" si="22"/>
        <v>16</v>
      </c>
      <c r="L182" s="95">
        <f t="shared" si="23"/>
        <v>0.13698630136986301</v>
      </c>
    </row>
    <row r="183" spans="1:12" x14ac:dyDescent="0.3">
      <c r="A183" s="78" t="s">
        <v>130</v>
      </c>
      <c r="B183" s="87">
        <v>1</v>
      </c>
      <c r="C183" s="87">
        <v>0.2</v>
      </c>
      <c r="D183" s="87">
        <v>0.2</v>
      </c>
      <c r="E183" s="92"/>
      <c r="F183" s="87">
        <v>0.2</v>
      </c>
      <c r="G183" s="87">
        <v>0.2</v>
      </c>
      <c r="H183" s="87">
        <v>0.2</v>
      </c>
      <c r="I183" s="87">
        <v>0.2</v>
      </c>
      <c r="J183" s="87">
        <v>0.2</v>
      </c>
      <c r="K183" s="87">
        <f t="shared" si="22"/>
        <v>2.4</v>
      </c>
      <c r="L183" s="95">
        <f t="shared" si="23"/>
        <v>2.0547945205479451E-2</v>
      </c>
    </row>
    <row r="184" spans="1:12" x14ac:dyDescent="0.3">
      <c r="A184" s="78" t="s">
        <v>131</v>
      </c>
      <c r="B184" s="87">
        <v>5</v>
      </c>
      <c r="C184" s="87">
        <v>1</v>
      </c>
      <c r="D184" s="87">
        <v>1</v>
      </c>
      <c r="E184" s="87">
        <v>5</v>
      </c>
      <c r="F184" s="92"/>
      <c r="G184" s="87">
        <v>1</v>
      </c>
      <c r="H184" s="87">
        <v>1</v>
      </c>
      <c r="I184" s="87">
        <v>1</v>
      </c>
      <c r="J184" s="87">
        <v>1</v>
      </c>
      <c r="K184" s="87">
        <f t="shared" si="22"/>
        <v>16</v>
      </c>
      <c r="L184" s="95">
        <f t="shared" si="23"/>
        <v>0.13698630136986301</v>
      </c>
    </row>
    <row r="185" spans="1:12" x14ac:dyDescent="0.3">
      <c r="A185" s="78" t="s">
        <v>26</v>
      </c>
      <c r="B185" s="87">
        <v>5</v>
      </c>
      <c r="C185" s="87">
        <v>1</v>
      </c>
      <c r="D185" s="87">
        <v>1</v>
      </c>
      <c r="E185" s="87">
        <v>5</v>
      </c>
      <c r="F185" s="87">
        <v>1</v>
      </c>
      <c r="G185" s="92"/>
      <c r="H185" s="87">
        <v>1</v>
      </c>
      <c r="I185" s="87">
        <v>1</v>
      </c>
      <c r="J185" s="87">
        <v>1</v>
      </c>
      <c r="K185" s="87">
        <f t="shared" si="22"/>
        <v>16</v>
      </c>
      <c r="L185" s="95">
        <f t="shared" si="23"/>
        <v>0.13698630136986301</v>
      </c>
    </row>
    <row r="186" spans="1:12" x14ac:dyDescent="0.3">
      <c r="A186" s="78" t="s">
        <v>27</v>
      </c>
      <c r="B186" s="87">
        <v>5</v>
      </c>
      <c r="C186" s="87">
        <v>1</v>
      </c>
      <c r="D186" s="87">
        <v>1</v>
      </c>
      <c r="E186" s="87">
        <v>5</v>
      </c>
      <c r="F186" s="87">
        <v>1</v>
      </c>
      <c r="G186" s="87">
        <v>1</v>
      </c>
      <c r="H186" s="92"/>
      <c r="I186" s="87">
        <v>1</v>
      </c>
      <c r="J186" s="87">
        <v>1</v>
      </c>
      <c r="K186" s="87">
        <f t="shared" si="22"/>
        <v>16</v>
      </c>
      <c r="L186" s="95">
        <f t="shared" si="23"/>
        <v>0.13698630136986301</v>
      </c>
    </row>
    <row r="187" spans="1:12" x14ac:dyDescent="0.3">
      <c r="A187" s="78" t="s">
        <v>145</v>
      </c>
      <c r="B187" s="87">
        <v>5</v>
      </c>
      <c r="C187" s="87">
        <v>1</v>
      </c>
      <c r="D187" s="87">
        <v>1</v>
      </c>
      <c r="E187" s="87">
        <v>5</v>
      </c>
      <c r="F187" s="87">
        <v>1</v>
      </c>
      <c r="G187" s="87">
        <v>1</v>
      </c>
      <c r="H187" s="87">
        <v>1</v>
      </c>
      <c r="I187" s="92"/>
      <c r="J187" s="87">
        <v>1</v>
      </c>
      <c r="K187" s="87">
        <f t="shared" si="22"/>
        <v>16</v>
      </c>
      <c r="L187" s="95">
        <f t="shared" si="23"/>
        <v>0.13698630136986301</v>
      </c>
    </row>
    <row r="188" spans="1:12" x14ac:dyDescent="0.3">
      <c r="A188" s="78" t="s">
        <v>147</v>
      </c>
      <c r="B188" s="87">
        <v>5</v>
      </c>
      <c r="C188" s="87">
        <v>1</v>
      </c>
      <c r="D188" s="87">
        <v>1</v>
      </c>
      <c r="E188" s="87">
        <v>5</v>
      </c>
      <c r="F188" s="87">
        <v>1</v>
      </c>
      <c r="G188" s="87">
        <v>1</v>
      </c>
      <c r="H188" s="87">
        <v>1</v>
      </c>
      <c r="I188" s="87">
        <v>1</v>
      </c>
      <c r="J188" s="92"/>
      <c r="K188" s="87">
        <f t="shared" si="22"/>
        <v>16</v>
      </c>
      <c r="L188" s="95">
        <f t="shared" si="23"/>
        <v>0.13698630136986301</v>
      </c>
    </row>
    <row r="189" spans="1:12" x14ac:dyDescent="0.3">
      <c r="A189" s="101" t="s">
        <v>21</v>
      </c>
      <c r="B189" s="102"/>
      <c r="C189" s="102"/>
      <c r="D189" s="102"/>
      <c r="E189" s="102"/>
      <c r="F189" s="102"/>
      <c r="G189" s="102"/>
      <c r="H189" s="102"/>
      <c r="I189" s="102"/>
      <c r="J189" s="103"/>
      <c r="K189" s="87">
        <f>SUM(K180:K188)</f>
        <v>116.8</v>
      </c>
      <c r="L189" s="95">
        <f>SUM(L180:L188)</f>
        <v>0.99999999999999989</v>
      </c>
    </row>
    <row r="191" spans="1:12" x14ac:dyDescent="0.3">
      <c r="A191" s="104" t="s">
        <v>31</v>
      </c>
      <c r="B191" s="106" t="s">
        <v>246</v>
      </c>
      <c r="C191" s="107"/>
      <c r="D191" s="108"/>
      <c r="E191" s="93"/>
      <c r="F191" s="93"/>
      <c r="G191" s="93"/>
      <c r="H191" s="93"/>
      <c r="I191" s="93"/>
      <c r="J191" s="93"/>
      <c r="K191" s="93"/>
      <c r="L191" s="93"/>
    </row>
    <row r="192" spans="1:12" x14ac:dyDescent="0.3">
      <c r="A192" s="105"/>
      <c r="B192" s="109"/>
      <c r="C192" s="110"/>
      <c r="D192" s="111"/>
      <c r="E192" s="93"/>
      <c r="F192" s="93"/>
      <c r="G192" s="93"/>
      <c r="H192" s="93"/>
      <c r="I192" s="93"/>
      <c r="J192" s="93"/>
      <c r="K192" s="93"/>
      <c r="L192" s="93"/>
    </row>
    <row r="193" spans="1:12" x14ac:dyDescent="0.3">
      <c r="A193" s="112" t="s">
        <v>30</v>
      </c>
      <c r="B193" s="113"/>
      <c r="C193" s="113"/>
      <c r="D193" s="113"/>
      <c r="E193" s="113"/>
      <c r="F193" s="113"/>
      <c r="G193" s="113"/>
      <c r="H193" s="113"/>
      <c r="I193" s="113"/>
      <c r="J193" s="113"/>
      <c r="K193" s="113"/>
      <c r="L193" s="114"/>
    </row>
    <row r="194" spans="1:12" ht="39.6" x14ac:dyDescent="0.3">
      <c r="A194" s="94"/>
      <c r="B194" s="77" t="s">
        <v>23</v>
      </c>
      <c r="C194" s="77" t="s">
        <v>24</v>
      </c>
      <c r="D194" s="77" t="s">
        <v>25</v>
      </c>
      <c r="E194" s="77" t="s">
        <v>130</v>
      </c>
      <c r="F194" s="77" t="s">
        <v>131</v>
      </c>
      <c r="G194" s="77" t="s">
        <v>26</v>
      </c>
      <c r="H194" s="77" t="s">
        <v>27</v>
      </c>
      <c r="I194" s="77" t="s">
        <v>145</v>
      </c>
      <c r="J194" s="77" t="s">
        <v>147</v>
      </c>
      <c r="K194" s="77" t="s">
        <v>21</v>
      </c>
      <c r="L194" s="77" t="s">
        <v>22</v>
      </c>
    </row>
    <row r="195" spans="1:12" x14ac:dyDescent="0.3">
      <c r="A195" s="78" t="s">
        <v>23</v>
      </c>
      <c r="B195" s="92"/>
      <c r="C195" s="87">
        <v>1</v>
      </c>
      <c r="D195" s="87">
        <v>1</v>
      </c>
      <c r="E195" s="87">
        <v>5</v>
      </c>
      <c r="F195" s="87">
        <v>1</v>
      </c>
      <c r="G195" s="87">
        <v>5</v>
      </c>
      <c r="H195" s="87">
        <v>1</v>
      </c>
      <c r="I195" s="87">
        <v>1</v>
      </c>
      <c r="J195" s="87">
        <v>1</v>
      </c>
      <c r="K195" s="87">
        <f t="shared" ref="K195:K203" si="24">SUM(B195:J195)</f>
        <v>16</v>
      </c>
      <c r="L195" s="95">
        <f>K195/$K$204</f>
        <v>0.13698630136986301</v>
      </c>
    </row>
    <row r="196" spans="1:12" x14ac:dyDescent="0.3">
      <c r="A196" s="78" t="s">
        <v>24</v>
      </c>
      <c r="B196" s="87">
        <v>1</v>
      </c>
      <c r="C196" s="92"/>
      <c r="D196" s="87">
        <v>1</v>
      </c>
      <c r="E196" s="87">
        <v>5</v>
      </c>
      <c r="F196" s="87">
        <v>1</v>
      </c>
      <c r="G196" s="87">
        <v>5</v>
      </c>
      <c r="H196" s="87">
        <v>1</v>
      </c>
      <c r="I196" s="87">
        <v>1</v>
      </c>
      <c r="J196" s="87">
        <v>1</v>
      </c>
      <c r="K196" s="87">
        <f t="shared" si="24"/>
        <v>16</v>
      </c>
      <c r="L196" s="95">
        <f t="shared" ref="L196:L203" si="25">K196/$K$204</f>
        <v>0.13698630136986301</v>
      </c>
    </row>
    <row r="197" spans="1:12" x14ac:dyDescent="0.3">
      <c r="A197" s="78" t="s">
        <v>25</v>
      </c>
      <c r="B197" s="87">
        <v>1</v>
      </c>
      <c r="C197" s="87">
        <v>1</v>
      </c>
      <c r="D197" s="92"/>
      <c r="E197" s="87">
        <v>5</v>
      </c>
      <c r="F197" s="87">
        <v>1</v>
      </c>
      <c r="G197" s="87">
        <v>5</v>
      </c>
      <c r="H197" s="87">
        <v>1</v>
      </c>
      <c r="I197" s="87">
        <v>1</v>
      </c>
      <c r="J197" s="87">
        <v>1</v>
      </c>
      <c r="K197" s="87">
        <f t="shared" si="24"/>
        <v>16</v>
      </c>
      <c r="L197" s="95">
        <f t="shared" si="25"/>
        <v>0.13698630136986301</v>
      </c>
    </row>
    <row r="198" spans="1:12" x14ac:dyDescent="0.3">
      <c r="A198" s="78" t="s">
        <v>130</v>
      </c>
      <c r="B198" s="87">
        <v>0.2</v>
      </c>
      <c r="C198" s="87">
        <v>0.2</v>
      </c>
      <c r="D198" s="87">
        <v>0.2</v>
      </c>
      <c r="E198" s="92"/>
      <c r="F198" s="87">
        <v>0.2</v>
      </c>
      <c r="G198" s="87">
        <v>1</v>
      </c>
      <c r="H198" s="87">
        <v>0.2</v>
      </c>
      <c r="I198" s="87">
        <v>0.2</v>
      </c>
      <c r="J198" s="87">
        <v>0.2</v>
      </c>
      <c r="K198" s="87">
        <f t="shared" si="24"/>
        <v>2.4000000000000004</v>
      </c>
      <c r="L198" s="95">
        <f t="shared" si="25"/>
        <v>2.0547945205479454E-2</v>
      </c>
    </row>
    <row r="199" spans="1:12" x14ac:dyDescent="0.3">
      <c r="A199" s="78" t="s">
        <v>131</v>
      </c>
      <c r="B199" s="87">
        <v>1</v>
      </c>
      <c r="C199" s="87">
        <v>1</v>
      </c>
      <c r="D199" s="87">
        <v>1</v>
      </c>
      <c r="E199" s="87">
        <v>5</v>
      </c>
      <c r="F199" s="92"/>
      <c r="G199" s="87">
        <v>5</v>
      </c>
      <c r="H199" s="87">
        <v>1</v>
      </c>
      <c r="I199" s="87">
        <v>1</v>
      </c>
      <c r="J199" s="87">
        <v>1</v>
      </c>
      <c r="K199" s="87">
        <f t="shared" si="24"/>
        <v>16</v>
      </c>
      <c r="L199" s="95">
        <f t="shared" si="25"/>
        <v>0.13698630136986301</v>
      </c>
    </row>
    <row r="200" spans="1:12" x14ac:dyDescent="0.3">
      <c r="A200" s="78" t="s">
        <v>26</v>
      </c>
      <c r="B200" s="87">
        <v>0.2</v>
      </c>
      <c r="C200" s="87">
        <v>0.2</v>
      </c>
      <c r="D200" s="87">
        <v>0.2</v>
      </c>
      <c r="E200" s="87">
        <v>1</v>
      </c>
      <c r="F200" s="87">
        <v>0.2</v>
      </c>
      <c r="G200" s="92"/>
      <c r="H200" s="87">
        <v>0.2</v>
      </c>
      <c r="I200" s="87">
        <v>0.2</v>
      </c>
      <c r="J200" s="87">
        <v>0.2</v>
      </c>
      <c r="K200" s="87">
        <f t="shared" si="24"/>
        <v>2.4000000000000004</v>
      </c>
      <c r="L200" s="95">
        <f t="shared" si="25"/>
        <v>2.0547945205479454E-2</v>
      </c>
    </row>
    <row r="201" spans="1:12" x14ac:dyDescent="0.3">
      <c r="A201" s="78" t="s">
        <v>27</v>
      </c>
      <c r="B201" s="87">
        <v>1</v>
      </c>
      <c r="C201" s="87">
        <v>1</v>
      </c>
      <c r="D201" s="87">
        <v>1</v>
      </c>
      <c r="E201" s="87">
        <v>5</v>
      </c>
      <c r="F201" s="87">
        <v>1</v>
      </c>
      <c r="G201" s="87">
        <v>5</v>
      </c>
      <c r="H201" s="92"/>
      <c r="I201" s="87">
        <v>1</v>
      </c>
      <c r="J201" s="87">
        <v>1</v>
      </c>
      <c r="K201" s="87">
        <f t="shared" si="24"/>
        <v>16</v>
      </c>
      <c r="L201" s="95">
        <f t="shared" si="25"/>
        <v>0.13698630136986301</v>
      </c>
    </row>
    <row r="202" spans="1:12" x14ac:dyDescent="0.3">
      <c r="A202" s="78" t="s">
        <v>145</v>
      </c>
      <c r="B202" s="87">
        <v>1</v>
      </c>
      <c r="C202" s="87">
        <v>1</v>
      </c>
      <c r="D202" s="87">
        <v>1</v>
      </c>
      <c r="E202" s="87">
        <v>5</v>
      </c>
      <c r="F202" s="87">
        <v>1</v>
      </c>
      <c r="G202" s="87">
        <v>5</v>
      </c>
      <c r="H202" s="87">
        <v>1</v>
      </c>
      <c r="I202" s="92"/>
      <c r="J202" s="87">
        <v>1</v>
      </c>
      <c r="K202" s="87">
        <f t="shared" si="24"/>
        <v>16</v>
      </c>
      <c r="L202" s="95">
        <f t="shared" si="25"/>
        <v>0.13698630136986301</v>
      </c>
    </row>
    <row r="203" spans="1:12" x14ac:dyDescent="0.3">
      <c r="A203" s="78" t="s">
        <v>147</v>
      </c>
      <c r="B203" s="87">
        <v>1</v>
      </c>
      <c r="C203" s="87">
        <v>1</v>
      </c>
      <c r="D203" s="87">
        <v>1</v>
      </c>
      <c r="E203" s="87">
        <v>5</v>
      </c>
      <c r="F203" s="87">
        <v>1</v>
      </c>
      <c r="G203" s="87">
        <v>5</v>
      </c>
      <c r="H203" s="87">
        <v>1</v>
      </c>
      <c r="I203" s="87">
        <v>1</v>
      </c>
      <c r="J203" s="92"/>
      <c r="K203" s="87">
        <f t="shared" si="24"/>
        <v>16</v>
      </c>
      <c r="L203" s="95">
        <f t="shared" si="25"/>
        <v>0.13698630136986301</v>
      </c>
    </row>
    <row r="204" spans="1:12" x14ac:dyDescent="0.3">
      <c r="A204" s="101" t="s">
        <v>21</v>
      </c>
      <c r="B204" s="102"/>
      <c r="C204" s="102"/>
      <c r="D204" s="102"/>
      <c r="E204" s="102"/>
      <c r="F204" s="102"/>
      <c r="G204" s="102"/>
      <c r="H204" s="102"/>
      <c r="I204" s="102"/>
      <c r="J204" s="103"/>
      <c r="K204" s="87">
        <f>SUM(K195:K203)</f>
        <v>116.80000000000001</v>
      </c>
      <c r="L204" s="95">
        <f>SUM(L195:L203)</f>
        <v>1</v>
      </c>
    </row>
    <row r="206" spans="1:12" x14ac:dyDescent="0.3">
      <c r="A206" s="104" t="s">
        <v>31</v>
      </c>
      <c r="B206" s="106" t="s">
        <v>247</v>
      </c>
      <c r="C206" s="107"/>
      <c r="D206" s="108"/>
      <c r="E206" s="93"/>
      <c r="F206" s="93"/>
      <c r="G206" s="93"/>
      <c r="H206" s="93"/>
      <c r="I206" s="93"/>
      <c r="J206" s="93"/>
      <c r="K206" s="93"/>
      <c r="L206" s="93"/>
    </row>
    <row r="207" spans="1:12" x14ac:dyDescent="0.3">
      <c r="A207" s="105"/>
      <c r="B207" s="109"/>
      <c r="C207" s="110"/>
      <c r="D207" s="111"/>
      <c r="E207" s="93"/>
      <c r="F207" s="93"/>
      <c r="G207" s="93"/>
      <c r="H207" s="93"/>
      <c r="I207" s="93"/>
      <c r="J207" s="93"/>
      <c r="K207" s="93"/>
      <c r="L207" s="93"/>
    </row>
    <row r="208" spans="1:12" x14ac:dyDescent="0.3">
      <c r="A208" s="112" t="s">
        <v>30</v>
      </c>
      <c r="B208" s="113"/>
      <c r="C208" s="113"/>
      <c r="D208" s="113"/>
      <c r="E208" s="113"/>
      <c r="F208" s="113"/>
      <c r="G208" s="113"/>
      <c r="H208" s="113"/>
      <c r="I208" s="113"/>
      <c r="J208" s="113"/>
      <c r="K208" s="113"/>
      <c r="L208" s="114"/>
    </row>
    <row r="209" spans="1:12" ht="39.6" x14ac:dyDescent="0.3">
      <c r="A209" s="94"/>
      <c r="B209" s="77" t="s">
        <v>23</v>
      </c>
      <c r="C209" s="77" t="s">
        <v>24</v>
      </c>
      <c r="D209" s="77" t="s">
        <v>25</v>
      </c>
      <c r="E209" s="77" t="s">
        <v>130</v>
      </c>
      <c r="F209" s="77" t="s">
        <v>131</v>
      </c>
      <c r="G209" s="77" t="s">
        <v>26</v>
      </c>
      <c r="H209" s="77" t="s">
        <v>27</v>
      </c>
      <c r="I209" s="77" t="s">
        <v>145</v>
      </c>
      <c r="J209" s="77" t="s">
        <v>147</v>
      </c>
      <c r="K209" s="77" t="s">
        <v>21</v>
      </c>
      <c r="L209" s="77" t="s">
        <v>22</v>
      </c>
    </row>
    <row r="210" spans="1:12" x14ac:dyDescent="0.3">
      <c r="A210" s="78" t="s">
        <v>23</v>
      </c>
      <c r="B210" s="92"/>
      <c r="C210" s="87">
        <v>1</v>
      </c>
      <c r="D210" s="87">
        <v>1</v>
      </c>
      <c r="E210" s="87">
        <v>5</v>
      </c>
      <c r="F210" s="87">
        <v>1</v>
      </c>
      <c r="G210" s="87">
        <v>5</v>
      </c>
      <c r="H210" s="87">
        <v>1</v>
      </c>
      <c r="I210" s="87">
        <v>1</v>
      </c>
      <c r="J210" s="87">
        <v>1</v>
      </c>
      <c r="K210" s="87">
        <f t="shared" ref="K210:K218" si="26">SUM(B210:J210)</f>
        <v>16</v>
      </c>
      <c r="L210" s="95">
        <f>K210/$K$219</f>
        <v>0.13698630136986301</v>
      </c>
    </row>
    <row r="211" spans="1:12" x14ac:dyDescent="0.3">
      <c r="A211" s="78" t="s">
        <v>24</v>
      </c>
      <c r="B211" s="87">
        <v>1</v>
      </c>
      <c r="C211" s="92"/>
      <c r="D211" s="87">
        <v>1</v>
      </c>
      <c r="E211" s="87">
        <v>5</v>
      </c>
      <c r="F211" s="87">
        <v>1</v>
      </c>
      <c r="G211" s="87">
        <v>5</v>
      </c>
      <c r="H211" s="87">
        <v>1</v>
      </c>
      <c r="I211" s="87">
        <v>1</v>
      </c>
      <c r="J211" s="87">
        <v>1</v>
      </c>
      <c r="K211" s="87">
        <f t="shared" si="26"/>
        <v>16</v>
      </c>
      <c r="L211" s="95">
        <f t="shared" ref="L211:L218" si="27">K211/$K$219</f>
        <v>0.13698630136986301</v>
      </c>
    </row>
    <row r="212" spans="1:12" x14ac:dyDescent="0.3">
      <c r="A212" s="78" t="s">
        <v>25</v>
      </c>
      <c r="B212" s="87">
        <v>1</v>
      </c>
      <c r="C212" s="87">
        <v>1</v>
      </c>
      <c r="D212" s="92"/>
      <c r="E212" s="87">
        <v>5</v>
      </c>
      <c r="F212" s="87">
        <v>1</v>
      </c>
      <c r="G212" s="87">
        <v>5</v>
      </c>
      <c r="H212" s="87">
        <v>1</v>
      </c>
      <c r="I212" s="87">
        <v>1</v>
      </c>
      <c r="J212" s="87">
        <v>1</v>
      </c>
      <c r="K212" s="87">
        <f t="shared" si="26"/>
        <v>16</v>
      </c>
      <c r="L212" s="95">
        <f t="shared" si="27"/>
        <v>0.13698630136986301</v>
      </c>
    </row>
    <row r="213" spans="1:12" x14ac:dyDescent="0.3">
      <c r="A213" s="78" t="s">
        <v>130</v>
      </c>
      <c r="B213" s="87">
        <v>0.2</v>
      </c>
      <c r="C213" s="87">
        <v>0.2</v>
      </c>
      <c r="D213" s="87">
        <v>0.2</v>
      </c>
      <c r="E213" s="92"/>
      <c r="F213" s="87">
        <v>0.2</v>
      </c>
      <c r="G213" s="87">
        <v>1</v>
      </c>
      <c r="H213" s="87">
        <v>0.2</v>
      </c>
      <c r="I213" s="87">
        <v>0.2</v>
      </c>
      <c r="J213" s="87">
        <v>0.2</v>
      </c>
      <c r="K213" s="87">
        <f t="shared" si="26"/>
        <v>2.4000000000000004</v>
      </c>
      <c r="L213" s="95">
        <f t="shared" si="27"/>
        <v>2.0547945205479454E-2</v>
      </c>
    </row>
    <row r="214" spans="1:12" x14ac:dyDescent="0.3">
      <c r="A214" s="78" t="s">
        <v>131</v>
      </c>
      <c r="B214" s="87">
        <v>1</v>
      </c>
      <c r="C214" s="87">
        <v>1</v>
      </c>
      <c r="D214" s="87">
        <v>1</v>
      </c>
      <c r="E214" s="87">
        <v>5</v>
      </c>
      <c r="F214" s="92"/>
      <c r="G214" s="87">
        <v>5</v>
      </c>
      <c r="H214" s="87">
        <v>1</v>
      </c>
      <c r="I214" s="87">
        <v>1</v>
      </c>
      <c r="J214" s="87">
        <v>1</v>
      </c>
      <c r="K214" s="87">
        <f t="shared" si="26"/>
        <v>16</v>
      </c>
      <c r="L214" s="95">
        <f t="shared" si="27"/>
        <v>0.13698630136986301</v>
      </c>
    </row>
    <row r="215" spans="1:12" x14ac:dyDescent="0.3">
      <c r="A215" s="78" t="s">
        <v>26</v>
      </c>
      <c r="B215" s="87">
        <v>0.2</v>
      </c>
      <c r="C215" s="87">
        <v>0.2</v>
      </c>
      <c r="D215" s="87">
        <v>0.2</v>
      </c>
      <c r="E215" s="87">
        <v>1</v>
      </c>
      <c r="F215" s="87">
        <v>0.2</v>
      </c>
      <c r="G215" s="92"/>
      <c r="H215" s="87">
        <v>0.2</v>
      </c>
      <c r="I215" s="87">
        <v>0.2</v>
      </c>
      <c r="J215" s="87">
        <v>0.2</v>
      </c>
      <c r="K215" s="87">
        <f t="shared" si="26"/>
        <v>2.4000000000000004</v>
      </c>
      <c r="L215" s="95">
        <f t="shared" si="27"/>
        <v>2.0547945205479454E-2</v>
      </c>
    </row>
    <row r="216" spans="1:12" x14ac:dyDescent="0.3">
      <c r="A216" s="78" t="s">
        <v>27</v>
      </c>
      <c r="B216" s="87">
        <v>1</v>
      </c>
      <c r="C216" s="87">
        <v>1</v>
      </c>
      <c r="D216" s="87">
        <v>1</v>
      </c>
      <c r="E216" s="87">
        <v>5</v>
      </c>
      <c r="F216" s="87">
        <v>1</v>
      </c>
      <c r="G216" s="87">
        <v>5</v>
      </c>
      <c r="H216" s="92"/>
      <c r="I216" s="87">
        <v>1</v>
      </c>
      <c r="J216" s="87">
        <v>1</v>
      </c>
      <c r="K216" s="87">
        <f t="shared" si="26"/>
        <v>16</v>
      </c>
      <c r="L216" s="95">
        <f t="shared" si="27"/>
        <v>0.13698630136986301</v>
      </c>
    </row>
    <row r="217" spans="1:12" x14ac:dyDescent="0.3">
      <c r="A217" s="78" t="s">
        <v>145</v>
      </c>
      <c r="B217" s="87">
        <v>1</v>
      </c>
      <c r="C217" s="87">
        <v>1</v>
      </c>
      <c r="D217" s="87">
        <v>1</v>
      </c>
      <c r="E217" s="87">
        <v>5</v>
      </c>
      <c r="F217" s="87">
        <v>1</v>
      </c>
      <c r="G217" s="87">
        <v>5</v>
      </c>
      <c r="H217" s="87">
        <v>1</v>
      </c>
      <c r="I217" s="92"/>
      <c r="J217" s="87">
        <v>1</v>
      </c>
      <c r="K217" s="87">
        <f t="shared" si="26"/>
        <v>16</v>
      </c>
      <c r="L217" s="95">
        <f t="shared" si="27"/>
        <v>0.13698630136986301</v>
      </c>
    </row>
    <row r="218" spans="1:12" x14ac:dyDescent="0.3">
      <c r="A218" s="78" t="s">
        <v>147</v>
      </c>
      <c r="B218" s="87">
        <v>1</v>
      </c>
      <c r="C218" s="87">
        <v>1</v>
      </c>
      <c r="D218" s="87">
        <v>1</v>
      </c>
      <c r="E218" s="87">
        <v>5</v>
      </c>
      <c r="F218" s="87">
        <v>1</v>
      </c>
      <c r="G218" s="87">
        <v>5</v>
      </c>
      <c r="H218" s="87">
        <v>1</v>
      </c>
      <c r="I218" s="87">
        <v>1</v>
      </c>
      <c r="J218" s="92"/>
      <c r="K218" s="87">
        <f t="shared" si="26"/>
        <v>16</v>
      </c>
      <c r="L218" s="95">
        <f t="shared" si="27"/>
        <v>0.13698630136986301</v>
      </c>
    </row>
    <row r="219" spans="1:12" x14ac:dyDescent="0.3">
      <c r="A219" s="101" t="s">
        <v>21</v>
      </c>
      <c r="B219" s="102"/>
      <c r="C219" s="102"/>
      <c r="D219" s="102"/>
      <c r="E219" s="102"/>
      <c r="F219" s="102"/>
      <c r="G219" s="102"/>
      <c r="H219" s="102"/>
      <c r="I219" s="102"/>
      <c r="J219" s="103"/>
      <c r="K219" s="87">
        <f>SUM(K210:K218)</f>
        <v>116.80000000000001</v>
      </c>
      <c r="L219" s="95">
        <f>SUM(L210:L218)</f>
        <v>1</v>
      </c>
    </row>
    <row r="221" spans="1:12" ht="14.4" customHeight="1" x14ac:dyDescent="0.3">
      <c r="A221" s="104" t="s">
        <v>31</v>
      </c>
      <c r="B221" s="106" t="s">
        <v>248</v>
      </c>
      <c r="C221" s="107"/>
      <c r="D221" s="108"/>
      <c r="E221" s="93"/>
      <c r="F221" s="93"/>
      <c r="G221" s="93"/>
      <c r="H221" s="93"/>
      <c r="I221" s="93"/>
      <c r="J221" s="93"/>
      <c r="K221" s="93"/>
      <c r="L221" s="93"/>
    </row>
    <row r="222" spans="1:12" x14ac:dyDescent="0.3">
      <c r="A222" s="105"/>
      <c r="B222" s="109"/>
      <c r="C222" s="110"/>
      <c r="D222" s="111"/>
      <c r="E222" s="93"/>
      <c r="F222" s="93"/>
      <c r="G222" s="93"/>
      <c r="H222" s="93"/>
      <c r="I222" s="93"/>
      <c r="J222" s="93"/>
      <c r="K222" s="93"/>
      <c r="L222" s="93"/>
    </row>
    <row r="223" spans="1:12" ht="14.4" customHeight="1" x14ac:dyDescent="0.3">
      <c r="A223" s="112" t="s">
        <v>30</v>
      </c>
      <c r="B223" s="113"/>
      <c r="C223" s="113"/>
      <c r="D223" s="113"/>
      <c r="E223" s="113"/>
      <c r="F223" s="113"/>
      <c r="G223" s="113"/>
      <c r="H223" s="113"/>
      <c r="I223" s="113"/>
      <c r="J223" s="113"/>
      <c r="K223" s="113"/>
      <c r="L223" s="114"/>
    </row>
    <row r="224" spans="1:12" ht="39.6" x14ac:dyDescent="0.3">
      <c r="A224" s="94"/>
      <c r="B224" s="77" t="s">
        <v>23</v>
      </c>
      <c r="C224" s="77" t="s">
        <v>24</v>
      </c>
      <c r="D224" s="77" t="s">
        <v>25</v>
      </c>
      <c r="E224" s="77" t="s">
        <v>130</v>
      </c>
      <c r="F224" s="77" t="s">
        <v>131</v>
      </c>
      <c r="G224" s="77" t="s">
        <v>26</v>
      </c>
      <c r="H224" s="77" t="s">
        <v>27</v>
      </c>
      <c r="I224" s="77" t="s">
        <v>145</v>
      </c>
      <c r="J224" s="77" t="s">
        <v>147</v>
      </c>
      <c r="K224" s="77" t="s">
        <v>21</v>
      </c>
      <c r="L224" s="77" t="s">
        <v>22</v>
      </c>
    </row>
    <row r="225" spans="1:12" x14ac:dyDescent="0.3">
      <c r="A225" s="78" t="s">
        <v>23</v>
      </c>
      <c r="B225" s="92"/>
      <c r="C225" s="87">
        <v>1</v>
      </c>
      <c r="D225" s="87">
        <v>1</v>
      </c>
      <c r="E225" s="87">
        <v>5</v>
      </c>
      <c r="F225" s="87">
        <v>1</v>
      </c>
      <c r="G225" s="87">
        <v>1</v>
      </c>
      <c r="H225" s="87">
        <v>1</v>
      </c>
      <c r="I225" s="87">
        <v>1</v>
      </c>
      <c r="J225" s="87">
        <v>1</v>
      </c>
      <c r="K225" s="87">
        <f t="shared" ref="K225:K233" si="28">SUM(B225:J225)</f>
        <v>12</v>
      </c>
      <c r="L225" s="95">
        <f>K225/$K$234</f>
        <v>0.12295081967213116</v>
      </c>
    </row>
    <row r="226" spans="1:12" x14ac:dyDescent="0.3">
      <c r="A226" s="78" t="s">
        <v>24</v>
      </c>
      <c r="B226" s="87">
        <v>1</v>
      </c>
      <c r="C226" s="92"/>
      <c r="D226" s="87">
        <v>1</v>
      </c>
      <c r="E226" s="87">
        <v>5</v>
      </c>
      <c r="F226" s="87">
        <v>1</v>
      </c>
      <c r="G226" s="87">
        <v>1</v>
      </c>
      <c r="H226" s="87">
        <v>1</v>
      </c>
      <c r="I226" s="87">
        <v>1</v>
      </c>
      <c r="J226" s="87">
        <v>1</v>
      </c>
      <c r="K226" s="87">
        <f t="shared" si="28"/>
        <v>12</v>
      </c>
      <c r="L226" s="95">
        <f t="shared" ref="L226:L233" si="29">K226/$K$234</f>
        <v>0.12295081967213116</v>
      </c>
    </row>
    <row r="227" spans="1:12" x14ac:dyDescent="0.3">
      <c r="A227" s="78" t="s">
        <v>25</v>
      </c>
      <c r="B227" s="87">
        <v>1</v>
      </c>
      <c r="C227" s="87">
        <v>1</v>
      </c>
      <c r="D227" s="92"/>
      <c r="E227" s="87">
        <v>5</v>
      </c>
      <c r="F227" s="87">
        <v>1</v>
      </c>
      <c r="G227" s="87">
        <v>1</v>
      </c>
      <c r="H227" s="87">
        <v>1</v>
      </c>
      <c r="I227" s="87">
        <v>1</v>
      </c>
      <c r="J227" s="87">
        <v>1</v>
      </c>
      <c r="K227" s="87">
        <f t="shared" si="28"/>
        <v>12</v>
      </c>
      <c r="L227" s="95">
        <f t="shared" si="29"/>
        <v>0.12295081967213116</v>
      </c>
    </row>
    <row r="228" spans="1:12" x14ac:dyDescent="0.3">
      <c r="A228" s="78" t="s">
        <v>130</v>
      </c>
      <c r="B228" s="87">
        <v>0.2</v>
      </c>
      <c r="C228" s="87">
        <v>0.2</v>
      </c>
      <c r="D228" s="87">
        <v>0.2</v>
      </c>
      <c r="E228" s="92"/>
      <c r="F228" s="87">
        <v>0.2</v>
      </c>
      <c r="G228" s="87">
        <v>0.2</v>
      </c>
      <c r="H228" s="87">
        <v>0.2</v>
      </c>
      <c r="I228" s="87">
        <v>0.2</v>
      </c>
      <c r="J228" s="87">
        <v>0.2</v>
      </c>
      <c r="K228" s="87">
        <f t="shared" si="28"/>
        <v>1.5999999999999999</v>
      </c>
      <c r="L228" s="95">
        <f t="shared" si="29"/>
        <v>1.6393442622950821E-2</v>
      </c>
    </row>
    <row r="229" spans="1:12" x14ac:dyDescent="0.3">
      <c r="A229" s="78" t="s">
        <v>131</v>
      </c>
      <c r="B229" s="87">
        <v>1</v>
      </c>
      <c r="C229" s="87">
        <v>1</v>
      </c>
      <c r="D229" s="87">
        <v>1</v>
      </c>
      <c r="E229" s="87">
        <v>5</v>
      </c>
      <c r="F229" s="92"/>
      <c r="G229" s="87">
        <v>1</v>
      </c>
      <c r="H229" s="87">
        <v>1</v>
      </c>
      <c r="I229" s="87">
        <v>1</v>
      </c>
      <c r="J229" s="87">
        <v>1</v>
      </c>
      <c r="K229" s="87">
        <f t="shared" si="28"/>
        <v>12</v>
      </c>
      <c r="L229" s="95">
        <f t="shared" si="29"/>
        <v>0.12295081967213116</v>
      </c>
    </row>
    <row r="230" spans="1:12" x14ac:dyDescent="0.3">
      <c r="A230" s="78" t="s">
        <v>26</v>
      </c>
      <c r="B230" s="87">
        <v>1</v>
      </c>
      <c r="C230" s="87">
        <v>1</v>
      </c>
      <c r="D230" s="87">
        <v>1</v>
      </c>
      <c r="E230" s="87">
        <v>5</v>
      </c>
      <c r="F230" s="87">
        <v>1</v>
      </c>
      <c r="G230" s="92"/>
      <c r="H230" s="87">
        <v>1</v>
      </c>
      <c r="I230" s="87">
        <v>1</v>
      </c>
      <c r="J230" s="87">
        <v>1</v>
      </c>
      <c r="K230" s="87">
        <f t="shared" si="28"/>
        <v>12</v>
      </c>
      <c r="L230" s="95">
        <f t="shared" si="29"/>
        <v>0.12295081967213116</v>
      </c>
    </row>
    <row r="231" spans="1:12" x14ac:dyDescent="0.3">
      <c r="A231" s="78" t="s">
        <v>27</v>
      </c>
      <c r="B231" s="87">
        <v>1</v>
      </c>
      <c r="C231" s="87">
        <v>1</v>
      </c>
      <c r="D231" s="87">
        <v>1</v>
      </c>
      <c r="E231" s="87">
        <v>5</v>
      </c>
      <c r="F231" s="87">
        <v>1</v>
      </c>
      <c r="G231" s="87">
        <v>1</v>
      </c>
      <c r="H231" s="92"/>
      <c r="I231" s="87">
        <v>1</v>
      </c>
      <c r="J231" s="87">
        <v>1</v>
      </c>
      <c r="K231" s="87">
        <f t="shared" si="28"/>
        <v>12</v>
      </c>
      <c r="L231" s="95">
        <f t="shared" si="29"/>
        <v>0.12295081967213116</v>
      </c>
    </row>
    <row r="232" spans="1:12" x14ac:dyDescent="0.3">
      <c r="A232" s="78" t="s">
        <v>145</v>
      </c>
      <c r="B232" s="87">
        <v>1</v>
      </c>
      <c r="C232" s="87">
        <v>1</v>
      </c>
      <c r="D232" s="87">
        <v>1</v>
      </c>
      <c r="E232" s="87">
        <v>5</v>
      </c>
      <c r="F232" s="87">
        <v>1</v>
      </c>
      <c r="G232" s="87">
        <v>1</v>
      </c>
      <c r="H232" s="87">
        <v>1</v>
      </c>
      <c r="I232" s="92"/>
      <c r="J232" s="87">
        <v>1</v>
      </c>
      <c r="K232" s="87">
        <f t="shared" si="28"/>
        <v>12</v>
      </c>
      <c r="L232" s="95">
        <f t="shared" si="29"/>
        <v>0.12295081967213116</v>
      </c>
    </row>
    <row r="233" spans="1:12" x14ac:dyDescent="0.3">
      <c r="A233" s="78" t="s">
        <v>147</v>
      </c>
      <c r="B233" s="87">
        <v>1</v>
      </c>
      <c r="C233" s="87">
        <v>1</v>
      </c>
      <c r="D233" s="87">
        <v>1</v>
      </c>
      <c r="E233" s="87">
        <v>5</v>
      </c>
      <c r="F233" s="87">
        <v>1</v>
      </c>
      <c r="G233" s="87">
        <v>1</v>
      </c>
      <c r="H233" s="87">
        <v>1</v>
      </c>
      <c r="I233" s="87">
        <v>1</v>
      </c>
      <c r="J233" s="92"/>
      <c r="K233" s="87">
        <f t="shared" si="28"/>
        <v>12</v>
      </c>
      <c r="L233" s="95">
        <f t="shared" si="29"/>
        <v>0.12295081967213116</v>
      </c>
    </row>
    <row r="234" spans="1:12" x14ac:dyDescent="0.3">
      <c r="A234" s="101" t="s">
        <v>21</v>
      </c>
      <c r="B234" s="102"/>
      <c r="C234" s="102"/>
      <c r="D234" s="102"/>
      <c r="E234" s="102"/>
      <c r="F234" s="102"/>
      <c r="G234" s="102"/>
      <c r="H234" s="102"/>
      <c r="I234" s="102"/>
      <c r="J234" s="103"/>
      <c r="K234" s="87">
        <f>SUM(K225:K233)</f>
        <v>97.6</v>
      </c>
      <c r="L234" s="95">
        <f>SUM(L225:L233)</f>
        <v>1</v>
      </c>
    </row>
    <row r="236" spans="1:12" x14ac:dyDescent="0.3">
      <c r="A236" s="104" t="s">
        <v>31</v>
      </c>
      <c r="B236" s="106" t="s">
        <v>249</v>
      </c>
      <c r="C236" s="107"/>
      <c r="D236" s="108"/>
      <c r="E236" s="93"/>
      <c r="F236" s="93"/>
      <c r="G236" s="93"/>
      <c r="H236" s="93"/>
      <c r="I236" s="93"/>
      <c r="J236" s="93"/>
      <c r="K236" s="93"/>
      <c r="L236" s="93"/>
    </row>
    <row r="237" spans="1:12" x14ac:dyDescent="0.3">
      <c r="A237" s="105"/>
      <c r="B237" s="109"/>
      <c r="C237" s="110"/>
      <c r="D237" s="111"/>
      <c r="E237" s="93"/>
      <c r="F237" s="93"/>
      <c r="G237" s="93"/>
      <c r="H237" s="93"/>
      <c r="I237" s="93"/>
      <c r="J237" s="93"/>
      <c r="K237" s="93"/>
      <c r="L237" s="93"/>
    </row>
    <row r="238" spans="1:12" x14ac:dyDescent="0.3">
      <c r="A238" s="112" t="s">
        <v>30</v>
      </c>
      <c r="B238" s="113"/>
      <c r="C238" s="113"/>
      <c r="D238" s="113"/>
      <c r="E238" s="113"/>
      <c r="F238" s="113"/>
      <c r="G238" s="113"/>
      <c r="H238" s="113"/>
      <c r="I238" s="113"/>
      <c r="J238" s="113"/>
      <c r="K238" s="113"/>
      <c r="L238" s="114"/>
    </row>
    <row r="239" spans="1:12" ht="39.6" x14ac:dyDescent="0.3">
      <c r="A239" s="94"/>
      <c r="B239" s="77" t="s">
        <v>23</v>
      </c>
      <c r="C239" s="77" t="s">
        <v>24</v>
      </c>
      <c r="D239" s="77" t="s">
        <v>25</v>
      </c>
      <c r="E239" s="77" t="s">
        <v>130</v>
      </c>
      <c r="F239" s="77" t="s">
        <v>131</v>
      </c>
      <c r="G239" s="77" t="s">
        <v>26</v>
      </c>
      <c r="H239" s="77" t="s">
        <v>27</v>
      </c>
      <c r="I239" s="77" t="s">
        <v>145</v>
      </c>
      <c r="J239" s="77" t="s">
        <v>147</v>
      </c>
      <c r="K239" s="77" t="s">
        <v>21</v>
      </c>
      <c r="L239" s="77" t="s">
        <v>22</v>
      </c>
    </row>
    <row r="240" spans="1:12" x14ac:dyDescent="0.3">
      <c r="A240" s="78" t="s">
        <v>23</v>
      </c>
      <c r="B240" s="92"/>
      <c r="C240" s="87">
        <v>1</v>
      </c>
      <c r="D240" s="87">
        <v>1</v>
      </c>
      <c r="E240" s="87">
        <v>5</v>
      </c>
      <c r="F240" s="87">
        <v>1</v>
      </c>
      <c r="G240" s="87">
        <v>1</v>
      </c>
      <c r="H240" s="87">
        <v>1</v>
      </c>
      <c r="I240" s="87">
        <v>5</v>
      </c>
      <c r="J240" s="87">
        <v>1</v>
      </c>
      <c r="K240" s="87">
        <f t="shared" ref="K240:K248" si="30">SUM(B240:J240)</f>
        <v>16</v>
      </c>
      <c r="L240" s="95">
        <f>K240/$K$249</f>
        <v>0.13698630136986301</v>
      </c>
    </row>
    <row r="241" spans="1:12" x14ac:dyDescent="0.3">
      <c r="A241" s="78" t="s">
        <v>24</v>
      </c>
      <c r="B241" s="87">
        <v>1</v>
      </c>
      <c r="C241" s="92"/>
      <c r="D241" s="87">
        <v>1</v>
      </c>
      <c r="E241" s="87">
        <v>5</v>
      </c>
      <c r="F241" s="87">
        <v>1</v>
      </c>
      <c r="G241" s="87">
        <v>1</v>
      </c>
      <c r="H241" s="87">
        <v>1</v>
      </c>
      <c r="I241" s="87">
        <v>5</v>
      </c>
      <c r="J241" s="87">
        <v>1</v>
      </c>
      <c r="K241" s="87">
        <f t="shared" si="30"/>
        <v>16</v>
      </c>
      <c r="L241" s="95">
        <f t="shared" ref="L241:L248" si="31">K241/$K$249</f>
        <v>0.13698630136986301</v>
      </c>
    </row>
    <row r="242" spans="1:12" x14ac:dyDescent="0.3">
      <c r="A242" s="78" t="s">
        <v>25</v>
      </c>
      <c r="B242" s="87">
        <v>1</v>
      </c>
      <c r="C242" s="87">
        <v>1</v>
      </c>
      <c r="D242" s="92"/>
      <c r="E242" s="87">
        <v>5</v>
      </c>
      <c r="F242" s="87">
        <v>1</v>
      </c>
      <c r="G242" s="87">
        <v>1</v>
      </c>
      <c r="H242" s="87">
        <v>1</v>
      </c>
      <c r="I242" s="87">
        <v>5</v>
      </c>
      <c r="J242" s="87">
        <v>1</v>
      </c>
      <c r="K242" s="87">
        <f t="shared" si="30"/>
        <v>16</v>
      </c>
      <c r="L242" s="95">
        <f t="shared" si="31"/>
        <v>0.13698630136986301</v>
      </c>
    </row>
    <row r="243" spans="1:12" x14ac:dyDescent="0.3">
      <c r="A243" s="78" t="s">
        <v>130</v>
      </c>
      <c r="B243" s="87">
        <v>0.2</v>
      </c>
      <c r="C243" s="87">
        <v>0.2</v>
      </c>
      <c r="D243" s="87">
        <v>0.2</v>
      </c>
      <c r="E243" s="92"/>
      <c r="F243" s="87">
        <v>0.2</v>
      </c>
      <c r="G243" s="87">
        <v>0.2</v>
      </c>
      <c r="H243" s="87">
        <v>0.2</v>
      </c>
      <c r="I243" s="87">
        <v>1</v>
      </c>
      <c r="J243" s="87">
        <v>0.2</v>
      </c>
      <c r="K243" s="87">
        <f t="shared" si="30"/>
        <v>2.4000000000000004</v>
      </c>
      <c r="L243" s="95">
        <f t="shared" si="31"/>
        <v>2.0547945205479454E-2</v>
      </c>
    </row>
    <row r="244" spans="1:12" x14ac:dyDescent="0.3">
      <c r="A244" s="78" t="s">
        <v>131</v>
      </c>
      <c r="B244" s="87">
        <v>1</v>
      </c>
      <c r="C244" s="87">
        <v>1</v>
      </c>
      <c r="D244" s="87">
        <v>1</v>
      </c>
      <c r="E244" s="87">
        <v>5</v>
      </c>
      <c r="F244" s="92"/>
      <c r="G244" s="87">
        <v>1</v>
      </c>
      <c r="H244" s="87">
        <v>1</v>
      </c>
      <c r="I244" s="87">
        <v>5</v>
      </c>
      <c r="J244" s="87">
        <v>1</v>
      </c>
      <c r="K244" s="87">
        <f t="shared" si="30"/>
        <v>16</v>
      </c>
      <c r="L244" s="95">
        <f t="shared" si="31"/>
        <v>0.13698630136986301</v>
      </c>
    </row>
    <row r="245" spans="1:12" x14ac:dyDescent="0.3">
      <c r="A245" s="78" t="s">
        <v>26</v>
      </c>
      <c r="B245" s="87">
        <v>1</v>
      </c>
      <c r="C245" s="87">
        <v>1</v>
      </c>
      <c r="D245" s="87">
        <v>1</v>
      </c>
      <c r="E245" s="87">
        <v>5</v>
      </c>
      <c r="F245" s="87">
        <v>1</v>
      </c>
      <c r="G245" s="92"/>
      <c r="H245" s="87">
        <v>1</v>
      </c>
      <c r="I245" s="87">
        <v>5</v>
      </c>
      <c r="J245" s="87">
        <v>1</v>
      </c>
      <c r="K245" s="87">
        <f t="shared" si="30"/>
        <v>16</v>
      </c>
      <c r="L245" s="95">
        <f t="shared" si="31"/>
        <v>0.13698630136986301</v>
      </c>
    </row>
    <row r="246" spans="1:12" x14ac:dyDescent="0.3">
      <c r="A246" s="78" t="s">
        <v>27</v>
      </c>
      <c r="B246" s="87">
        <v>1</v>
      </c>
      <c r="C246" s="87">
        <v>1</v>
      </c>
      <c r="D246" s="87">
        <v>1</v>
      </c>
      <c r="E246" s="87">
        <v>5</v>
      </c>
      <c r="F246" s="87">
        <v>1</v>
      </c>
      <c r="G246" s="87">
        <v>1</v>
      </c>
      <c r="H246" s="92"/>
      <c r="I246" s="87">
        <v>5</v>
      </c>
      <c r="J246" s="87">
        <v>1</v>
      </c>
      <c r="K246" s="87">
        <f t="shared" si="30"/>
        <v>16</v>
      </c>
      <c r="L246" s="95">
        <f t="shared" si="31"/>
        <v>0.13698630136986301</v>
      </c>
    </row>
    <row r="247" spans="1:12" x14ac:dyDescent="0.3">
      <c r="A247" s="78" t="s">
        <v>145</v>
      </c>
      <c r="B247" s="87">
        <v>0.2</v>
      </c>
      <c r="C247" s="87">
        <v>0.2</v>
      </c>
      <c r="D247" s="87">
        <v>0.2</v>
      </c>
      <c r="E247" s="87">
        <v>1</v>
      </c>
      <c r="F247" s="87">
        <v>0.2</v>
      </c>
      <c r="G247" s="87">
        <v>0.2</v>
      </c>
      <c r="H247" s="87">
        <v>0.2</v>
      </c>
      <c r="I247" s="92"/>
      <c r="J247" s="87">
        <v>0.2</v>
      </c>
      <c r="K247" s="87">
        <f t="shared" si="30"/>
        <v>2.4000000000000004</v>
      </c>
      <c r="L247" s="95">
        <f t="shared" si="31"/>
        <v>2.0547945205479454E-2</v>
      </c>
    </row>
    <row r="248" spans="1:12" x14ac:dyDescent="0.3">
      <c r="A248" s="78" t="s">
        <v>147</v>
      </c>
      <c r="B248" s="87">
        <v>1</v>
      </c>
      <c r="C248" s="87">
        <v>1</v>
      </c>
      <c r="D248" s="87">
        <v>1</v>
      </c>
      <c r="E248" s="87">
        <v>5</v>
      </c>
      <c r="F248" s="87">
        <v>1</v>
      </c>
      <c r="G248" s="87">
        <v>1</v>
      </c>
      <c r="H248" s="87">
        <v>1</v>
      </c>
      <c r="I248" s="87">
        <v>5</v>
      </c>
      <c r="J248" s="92"/>
      <c r="K248" s="87">
        <f t="shared" si="30"/>
        <v>16</v>
      </c>
      <c r="L248" s="95">
        <f t="shared" si="31"/>
        <v>0.13698630136986301</v>
      </c>
    </row>
    <row r="249" spans="1:12" x14ac:dyDescent="0.3">
      <c r="A249" s="101" t="s">
        <v>21</v>
      </c>
      <c r="B249" s="102"/>
      <c r="C249" s="102"/>
      <c r="D249" s="102"/>
      <c r="E249" s="102"/>
      <c r="F249" s="102"/>
      <c r="G249" s="102"/>
      <c r="H249" s="102"/>
      <c r="I249" s="102"/>
      <c r="J249" s="103"/>
      <c r="K249" s="99">
        <f>SUM(K240:K248)</f>
        <v>116.80000000000001</v>
      </c>
      <c r="L249" s="100">
        <f>SUM(L240:L248)</f>
        <v>1</v>
      </c>
    </row>
    <row r="251" spans="1:12" ht="14.4" customHeight="1" x14ac:dyDescent="0.3">
      <c r="A251" s="104" t="s">
        <v>31</v>
      </c>
      <c r="B251" s="106" t="s">
        <v>250</v>
      </c>
      <c r="C251" s="107"/>
      <c r="D251" s="108"/>
      <c r="E251" s="93"/>
      <c r="F251" s="93"/>
      <c r="G251" s="93"/>
      <c r="H251" s="93"/>
      <c r="I251" s="93"/>
      <c r="J251" s="93"/>
      <c r="K251" s="93"/>
      <c r="L251" s="93"/>
    </row>
    <row r="252" spans="1:12" x14ac:dyDescent="0.3">
      <c r="A252" s="105"/>
      <c r="B252" s="109"/>
      <c r="C252" s="110"/>
      <c r="D252" s="111"/>
      <c r="E252" s="93"/>
      <c r="F252" s="93"/>
      <c r="G252" s="93"/>
      <c r="H252" s="93"/>
      <c r="I252" s="93"/>
      <c r="J252" s="93"/>
      <c r="K252" s="93"/>
      <c r="L252" s="93"/>
    </row>
    <row r="253" spans="1:12" x14ac:dyDescent="0.3">
      <c r="A253" s="112" t="s">
        <v>30</v>
      </c>
      <c r="B253" s="113"/>
      <c r="C253" s="113"/>
      <c r="D253" s="113"/>
      <c r="E253" s="113"/>
      <c r="F253" s="113"/>
      <c r="G253" s="113"/>
      <c r="H253" s="113"/>
      <c r="I253" s="113"/>
      <c r="J253" s="113"/>
      <c r="K253" s="113"/>
      <c r="L253" s="114"/>
    </row>
    <row r="254" spans="1:12" ht="40.200000000000003" customHeight="1" x14ac:dyDescent="0.3">
      <c r="A254" s="94"/>
      <c r="B254" s="77" t="s">
        <v>23</v>
      </c>
      <c r="C254" s="77" t="s">
        <v>24</v>
      </c>
      <c r="D254" s="77" t="s">
        <v>25</v>
      </c>
      <c r="E254" s="77" t="s">
        <v>130</v>
      </c>
      <c r="F254" s="77" t="s">
        <v>131</v>
      </c>
      <c r="G254" s="77" t="s">
        <v>26</v>
      </c>
      <c r="H254" s="77" t="s">
        <v>27</v>
      </c>
      <c r="I254" s="77" t="s">
        <v>145</v>
      </c>
      <c r="J254" s="77" t="s">
        <v>147</v>
      </c>
      <c r="K254" s="77" t="s">
        <v>21</v>
      </c>
      <c r="L254" s="77" t="s">
        <v>22</v>
      </c>
    </row>
    <row r="255" spans="1:12" x14ac:dyDescent="0.3">
      <c r="A255" s="78" t="s">
        <v>23</v>
      </c>
      <c r="B255" s="92"/>
      <c r="C255" s="87">
        <v>1</v>
      </c>
      <c r="D255" s="87">
        <v>1</v>
      </c>
      <c r="E255" s="87">
        <v>5</v>
      </c>
      <c r="F255" s="87">
        <v>1</v>
      </c>
      <c r="G255" s="87">
        <v>1</v>
      </c>
      <c r="H255" s="87">
        <v>1</v>
      </c>
      <c r="I255" s="87">
        <v>1</v>
      </c>
      <c r="J255" s="87">
        <v>1</v>
      </c>
      <c r="K255" s="87">
        <f t="shared" ref="K255:K263" si="32">SUM(B255:J255)</f>
        <v>12</v>
      </c>
      <c r="L255" s="95">
        <f>K255/$K$264</f>
        <v>0.12295081967213116</v>
      </c>
    </row>
    <row r="256" spans="1:12" x14ac:dyDescent="0.3">
      <c r="A256" s="78" t="s">
        <v>24</v>
      </c>
      <c r="B256" s="87">
        <v>1</v>
      </c>
      <c r="C256" s="92"/>
      <c r="D256" s="87">
        <v>1</v>
      </c>
      <c r="E256" s="87">
        <v>5</v>
      </c>
      <c r="F256" s="87">
        <v>1</v>
      </c>
      <c r="G256" s="87">
        <v>1</v>
      </c>
      <c r="H256" s="87">
        <v>1</v>
      </c>
      <c r="I256" s="87">
        <v>1</v>
      </c>
      <c r="J256" s="87">
        <v>1</v>
      </c>
      <c r="K256" s="87">
        <f t="shared" si="32"/>
        <v>12</v>
      </c>
      <c r="L256" s="95">
        <f t="shared" ref="L256:L263" si="33">K256/$K$264</f>
        <v>0.12295081967213116</v>
      </c>
    </row>
    <row r="257" spans="1:12" x14ac:dyDescent="0.3">
      <c r="A257" s="78" t="s">
        <v>25</v>
      </c>
      <c r="B257" s="87">
        <v>1</v>
      </c>
      <c r="C257" s="87">
        <v>1</v>
      </c>
      <c r="D257" s="92"/>
      <c r="E257" s="87">
        <v>5</v>
      </c>
      <c r="F257" s="87">
        <v>1</v>
      </c>
      <c r="G257" s="87">
        <v>1</v>
      </c>
      <c r="H257" s="87">
        <v>1</v>
      </c>
      <c r="I257" s="87">
        <v>1</v>
      </c>
      <c r="J257" s="87">
        <v>1</v>
      </c>
      <c r="K257" s="87">
        <f t="shared" si="32"/>
        <v>12</v>
      </c>
      <c r="L257" s="95">
        <f t="shared" si="33"/>
        <v>0.12295081967213116</v>
      </c>
    </row>
    <row r="258" spans="1:12" x14ac:dyDescent="0.3">
      <c r="A258" s="78" t="s">
        <v>130</v>
      </c>
      <c r="B258" s="87">
        <v>0.2</v>
      </c>
      <c r="C258" s="87">
        <v>0.2</v>
      </c>
      <c r="D258" s="87">
        <v>0.2</v>
      </c>
      <c r="E258" s="92"/>
      <c r="F258" s="87">
        <v>0.2</v>
      </c>
      <c r="G258" s="87">
        <v>0.2</v>
      </c>
      <c r="H258" s="87">
        <v>0.2</v>
      </c>
      <c r="I258" s="87">
        <v>0.2</v>
      </c>
      <c r="J258" s="87">
        <v>0.2</v>
      </c>
      <c r="K258" s="87">
        <f t="shared" si="32"/>
        <v>1.5999999999999999</v>
      </c>
      <c r="L258" s="95">
        <f t="shared" si="33"/>
        <v>1.6393442622950821E-2</v>
      </c>
    </row>
    <row r="259" spans="1:12" x14ac:dyDescent="0.3">
      <c r="A259" s="78" t="s">
        <v>131</v>
      </c>
      <c r="B259" s="87">
        <v>1</v>
      </c>
      <c r="C259" s="87">
        <v>1</v>
      </c>
      <c r="D259" s="87">
        <v>1</v>
      </c>
      <c r="E259" s="87">
        <v>5</v>
      </c>
      <c r="F259" s="92"/>
      <c r="G259" s="87">
        <v>1</v>
      </c>
      <c r="H259" s="87">
        <v>1</v>
      </c>
      <c r="I259" s="87">
        <v>1</v>
      </c>
      <c r="J259" s="87">
        <v>1</v>
      </c>
      <c r="K259" s="87">
        <f t="shared" si="32"/>
        <v>12</v>
      </c>
      <c r="L259" s="95">
        <f t="shared" si="33"/>
        <v>0.12295081967213116</v>
      </c>
    </row>
    <row r="260" spans="1:12" x14ac:dyDescent="0.3">
      <c r="A260" s="78" t="s">
        <v>26</v>
      </c>
      <c r="B260" s="87">
        <v>1</v>
      </c>
      <c r="C260" s="87">
        <v>1</v>
      </c>
      <c r="D260" s="87">
        <v>1</v>
      </c>
      <c r="E260" s="87">
        <v>5</v>
      </c>
      <c r="F260" s="87">
        <v>1</v>
      </c>
      <c r="G260" s="92"/>
      <c r="H260" s="87">
        <v>1</v>
      </c>
      <c r="I260" s="87">
        <v>1</v>
      </c>
      <c r="J260" s="87">
        <v>1</v>
      </c>
      <c r="K260" s="87">
        <f t="shared" si="32"/>
        <v>12</v>
      </c>
      <c r="L260" s="95">
        <f t="shared" si="33"/>
        <v>0.12295081967213116</v>
      </c>
    </row>
    <row r="261" spans="1:12" x14ac:dyDescent="0.3">
      <c r="A261" s="78" t="s">
        <v>27</v>
      </c>
      <c r="B261" s="87">
        <v>1</v>
      </c>
      <c r="C261" s="87">
        <v>1</v>
      </c>
      <c r="D261" s="87">
        <v>1</v>
      </c>
      <c r="E261" s="87">
        <v>5</v>
      </c>
      <c r="F261" s="87">
        <v>1</v>
      </c>
      <c r="G261" s="87">
        <v>1</v>
      </c>
      <c r="H261" s="92"/>
      <c r="I261" s="87">
        <v>1</v>
      </c>
      <c r="J261" s="87">
        <v>1</v>
      </c>
      <c r="K261" s="87">
        <f t="shared" si="32"/>
        <v>12</v>
      </c>
      <c r="L261" s="95">
        <f t="shared" si="33"/>
        <v>0.12295081967213116</v>
      </c>
    </row>
    <row r="262" spans="1:12" x14ac:dyDescent="0.3">
      <c r="A262" s="78" t="s">
        <v>145</v>
      </c>
      <c r="B262" s="87">
        <v>1</v>
      </c>
      <c r="C262" s="87">
        <v>1</v>
      </c>
      <c r="D262" s="87">
        <v>1</v>
      </c>
      <c r="E262" s="87">
        <v>5</v>
      </c>
      <c r="F262" s="87">
        <v>1</v>
      </c>
      <c r="G262" s="87">
        <v>1</v>
      </c>
      <c r="H262" s="87">
        <v>1</v>
      </c>
      <c r="I262" s="92"/>
      <c r="J262" s="87">
        <v>1</v>
      </c>
      <c r="K262" s="87">
        <f t="shared" si="32"/>
        <v>12</v>
      </c>
      <c r="L262" s="95">
        <f t="shared" si="33"/>
        <v>0.12295081967213116</v>
      </c>
    </row>
    <row r="263" spans="1:12" x14ac:dyDescent="0.3">
      <c r="A263" s="78" t="s">
        <v>147</v>
      </c>
      <c r="B263" s="87">
        <v>1</v>
      </c>
      <c r="C263" s="87">
        <v>1</v>
      </c>
      <c r="D263" s="87">
        <v>1</v>
      </c>
      <c r="E263" s="87">
        <v>5</v>
      </c>
      <c r="F263" s="87">
        <v>1</v>
      </c>
      <c r="G263" s="87">
        <v>1</v>
      </c>
      <c r="H263" s="87">
        <v>1</v>
      </c>
      <c r="I263" s="87">
        <v>1</v>
      </c>
      <c r="J263" s="92"/>
      <c r="K263" s="87">
        <f t="shared" si="32"/>
        <v>12</v>
      </c>
      <c r="L263" s="95">
        <f t="shared" si="33"/>
        <v>0.12295081967213116</v>
      </c>
    </row>
    <row r="264" spans="1:12" x14ac:dyDescent="0.3">
      <c r="A264" s="101" t="s">
        <v>21</v>
      </c>
      <c r="B264" s="102"/>
      <c r="C264" s="102"/>
      <c r="D264" s="102"/>
      <c r="E264" s="102"/>
      <c r="F264" s="102"/>
      <c r="G264" s="102"/>
      <c r="H264" s="102"/>
      <c r="I264" s="102"/>
      <c r="J264" s="103"/>
      <c r="K264" s="87">
        <f>SUM(K255:K263)</f>
        <v>97.6</v>
      </c>
      <c r="L264" s="95">
        <f>SUM(L255:L263)</f>
        <v>1</v>
      </c>
    </row>
    <row r="266" spans="1:12" x14ac:dyDescent="0.3">
      <c r="A266" s="104" t="s">
        <v>31</v>
      </c>
      <c r="B266" s="106" t="s">
        <v>283</v>
      </c>
      <c r="C266" s="107"/>
      <c r="D266" s="108"/>
      <c r="E266" s="93"/>
      <c r="F266" s="93"/>
      <c r="G266" s="93"/>
      <c r="H266" s="93"/>
      <c r="I266" s="93"/>
      <c r="J266" s="93"/>
      <c r="K266" s="93"/>
      <c r="L266" s="93"/>
    </row>
    <row r="267" spans="1:12" x14ac:dyDescent="0.3">
      <c r="A267" s="105"/>
      <c r="B267" s="109"/>
      <c r="C267" s="110"/>
      <c r="D267" s="111"/>
      <c r="E267" s="93"/>
      <c r="F267" s="93"/>
      <c r="G267" s="93"/>
      <c r="H267" s="93"/>
      <c r="I267" s="93"/>
      <c r="J267" s="93"/>
      <c r="K267" s="93"/>
      <c r="L267" s="93"/>
    </row>
    <row r="268" spans="1:12" x14ac:dyDescent="0.3">
      <c r="A268" s="112" t="s">
        <v>30</v>
      </c>
      <c r="B268" s="113"/>
      <c r="C268" s="113"/>
      <c r="D268" s="113"/>
      <c r="E268" s="113"/>
      <c r="F268" s="113"/>
      <c r="G268" s="113"/>
      <c r="H268" s="113"/>
      <c r="I268" s="113"/>
      <c r="J268" s="113"/>
      <c r="K268" s="113"/>
      <c r="L268" s="114"/>
    </row>
    <row r="269" spans="1:12" ht="39.6" x14ac:dyDescent="0.3">
      <c r="A269" s="94"/>
      <c r="B269" s="77" t="s">
        <v>23</v>
      </c>
      <c r="C269" s="77" t="s">
        <v>24</v>
      </c>
      <c r="D269" s="77" t="s">
        <v>25</v>
      </c>
      <c r="E269" s="77" t="s">
        <v>130</v>
      </c>
      <c r="F269" s="77" t="s">
        <v>131</v>
      </c>
      <c r="G269" s="77" t="s">
        <v>26</v>
      </c>
      <c r="H269" s="77" t="s">
        <v>27</v>
      </c>
      <c r="I269" s="77" t="s">
        <v>145</v>
      </c>
      <c r="J269" s="77" t="s">
        <v>147</v>
      </c>
      <c r="K269" s="77" t="s">
        <v>21</v>
      </c>
      <c r="L269" s="77" t="s">
        <v>22</v>
      </c>
    </row>
    <row r="270" spans="1:12" x14ac:dyDescent="0.3">
      <c r="A270" s="78" t="s">
        <v>23</v>
      </c>
      <c r="B270" s="92"/>
      <c r="C270" s="87">
        <v>1</v>
      </c>
      <c r="D270" s="87">
        <v>1</v>
      </c>
      <c r="E270" s="87">
        <v>5</v>
      </c>
      <c r="F270" s="87">
        <v>1</v>
      </c>
      <c r="G270" s="87">
        <v>1</v>
      </c>
      <c r="H270" s="87">
        <v>1</v>
      </c>
      <c r="I270" s="87">
        <v>5</v>
      </c>
      <c r="J270" s="87">
        <v>1</v>
      </c>
      <c r="K270" s="87">
        <f t="shared" ref="K270:K278" si="34">SUM(B270:J270)</f>
        <v>16</v>
      </c>
      <c r="L270" s="95">
        <f>K270/$K$279</f>
        <v>0.13698630136986301</v>
      </c>
    </row>
    <row r="271" spans="1:12" x14ac:dyDescent="0.3">
      <c r="A271" s="78" t="s">
        <v>24</v>
      </c>
      <c r="B271" s="87">
        <v>1</v>
      </c>
      <c r="C271" s="92"/>
      <c r="D271" s="87">
        <v>1</v>
      </c>
      <c r="E271" s="87">
        <v>5</v>
      </c>
      <c r="F271" s="87">
        <v>1</v>
      </c>
      <c r="G271" s="87">
        <v>1</v>
      </c>
      <c r="H271" s="87">
        <v>1</v>
      </c>
      <c r="I271" s="87">
        <v>5</v>
      </c>
      <c r="J271" s="87">
        <v>1</v>
      </c>
      <c r="K271" s="87">
        <f t="shared" si="34"/>
        <v>16</v>
      </c>
      <c r="L271" s="95">
        <f t="shared" ref="L271:L278" si="35">K271/$K$279</f>
        <v>0.13698630136986301</v>
      </c>
    </row>
    <row r="272" spans="1:12" x14ac:dyDescent="0.3">
      <c r="A272" s="78" t="s">
        <v>25</v>
      </c>
      <c r="B272" s="87">
        <v>1</v>
      </c>
      <c r="C272" s="87">
        <v>1</v>
      </c>
      <c r="D272" s="92"/>
      <c r="E272" s="87">
        <v>5</v>
      </c>
      <c r="F272" s="87">
        <v>1</v>
      </c>
      <c r="G272" s="87">
        <v>1</v>
      </c>
      <c r="H272" s="87">
        <v>1</v>
      </c>
      <c r="I272" s="87">
        <v>5</v>
      </c>
      <c r="J272" s="87">
        <v>1</v>
      </c>
      <c r="K272" s="87">
        <f t="shared" si="34"/>
        <v>16</v>
      </c>
      <c r="L272" s="95">
        <f t="shared" si="35"/>
        <v>0.13698630136986301</v>
      </c>
    </row>
    <row r="273" spans="1:12" x14ac:dyDescent="0.3">
      <c r="A273" s="78" t="s">
        <v>130</v>
      </c>
      <c r="B273" s="87">
        <v>0.2</v>
      </c>
      <c r="C273" s="87">
        <v>0.2</v>
      </c>
      <c r="D273" s="87">
        <v>0.2</v>
      </c>
      <c r="E273" s="92"/>
      <c r="F273" s="87">
        <v>0.2</v>
      </c>
      <c r="G273" s="87">
        <v>0.2</v>
      </c>
      <c r="H273" s="87">
        <v>0.2</v>
      </c>
      <c r="I273" s="87">
        <v>1</v>
      </c>
      <c r="J273" s="87">
        <v>0.2</v>
      </c>
      <c r="K273" s="87">
        <f t="shared" si="34"/>
        <v>2.4000000000000004</v>
      </c>
      <c r="L273" s="95">
        <f t="shared" si="35"/>
        <v>2.0547945205479454E-2</v>
      </c>
    </row>
    <row r="274" spans="1:12" x14ac:dyDescent="0.3">
      <c r="A274" s="78" t="s">
        <v>131</v>
      </c>
      <c r="B274" s="87">
        <v>1</v>
      </c>
      <c r="C274" s="87">
        <v>1</v>
      </c>
      <c r="D274" s="87">
        <v>1</v>
      </c>
      <c r="E274" s="87">
        <v>5</v>
      </c>
      <c r="F274" s="92"/>
      <c r="G274" s="87">
        <v>1</v>
      </c>
      <c r="H274" s="87">
        <v>1</v>
      </c>
      <c r="I274" s="87">
        <v>5</v>
      </c>
      <c r="J274" s="87">
        <v>1</v>
      </c>
      <c r="K274" s="87">
        <f t="shared" si="34"/>
        <v>16</v>
      </c>
      <c r="L274" s="95">
        <f t="shared" si="35"/>
        <v>0.13698630136986301</v>
      </c>
    </row>
    <row r="275" spans="1:12" x14ac:dyDescent="0.3">
      <c r="A275" s="78" t="s">
        <v>26</v>
      </c>
      <c r="B275" s="87">
        <v>1</v>
      </c>
      <c r="C275" s="87">
        <v>1</v>
      </c>
      <c r="D275" s="87">
        <v>1</v>
      </c>
      <c r="E275" s="87">
        <v>5</v>
      </c>
      <c r="F275" s="87">
        <v>1</v>
      </c>
      <c r="G275" s="92"/>
      <c r="H275" s="87">
        <v>1</v>
      </c>
      <c r="I275" s="87">
        <v>5</v>
      </c>
      <c r="J275" s="87">
        <v>1</v>
      </c>
      <c r="K275" s="87">
        <f t="shared" si="34"/>
        <v>16</v>
      </c>
      <c r="L275" s="95">
        <f t="shared" si="35"/>
        <v>0.13698630136986301</v>
      </c>
    </row>
    <row r="276" spans="1:12" x14ac:dyDescent="0.3">
      <c r="A276" s="78" t="s">
        <v>27</v>
      </c>
      <c r="B276" s="87">
        <v>1</v>
      </c>
      <c r="C276" s="87">
        <v>1</v>
      </c>
      <c r="D276" s="87">
        <v>1</v>
      </c>
      <c r="E276" s="87">
        <v>5</v>
      </c>
      <c r="F276" s="87">
        <v>1</v>
      </c>
      <c r="G276" s="87">
        <v>1</v>
      </c>
      <c r="H276" s="92"/>
      <c r="I276" s="87">
        <v>5</v>
      </c>
      <c r="J276" s="87">
        <v>1</v>
      </c>
      <c r="K276" s="87">
        <f t="shared" si="34"/>
        <v>16</v>
      </c>
      <c r="L276" s="95">
        <f t="shared" si="35"/>
        <v>0.13698630136986301</v>
      </c>
    </row>
    <row r="277" spans="1:12" x14ac:dyDescent="0.3">
      <c r="A277" s="78" t="s">
        <v>145</v>
      </c>
      <c r="B277" s="87">
        <v>0.2</v>
      </c>
      <c r="C277" s="87">
        <v>0.2</v>
      </c>
      <c r="D277" s="87">
        <v>0.2</v>
      </c>
      <c r="E277" s="87">
        <v>1</v>
      </c>
      <c r="F277" s="87">
        <v>0.2</v>
      </c>
      <c r="G277" s="87">
        <v>0.2</v>
      </c>
      <c r="H277" s="87">
        <v>0.2</v>
      </c>
      <c r="I277" s="92"/>
      <c r="J277" s="87">
        <v>0.2</v>
      </c>
      <c r="K277" s="87">
        <f t="shared" si="34"/>
        <v>2.4000000000000004</v>
      </c>
      <c r="L277" s="95">
        <f t="shared" si="35"/>
        <v>2.0547945205479454E-2</v>
      </c>
    </row>
    <row r="278" spans="1:12" x14ac:dyDescent="0.3">
      <c r="A278" s="78" t="s">
        <v>147</v>
      </c>
      <c r="B278" s="87">
        <v>1</v>
      </c>
      <c r="C278" s="87">
        <v>1</v>
      </c>
      <c r="D278" s="87">
        <v>1</v>
      </c>
      <c r="E278" s="87">
        <v>5</v>
      </c>
      <c r="F278" s="87">
        <v>1</v>
      </c>
      <c r="G278" s="87">
        <v>1</v>
      </c>
      <c r="H278" s="87">
        <v>1</v>
      </c>
      <c r="I278" s="87">
        <v>5</v>
      </c>
      <c r="J278" s="92"/>
      <c r="K278" s="87">
        <f t="shared" si="34"/>
        <v>16</v>
      </c>
      <c r="L278" s="95">
        <f t="shared" si="35"/>
        <v>0.13698630136986301</v>
      </c>
    </row>
    <row r="279" spans="1:12" x14ac:dyDescent="0.3">
      <c r="A279" s="101" t="s">
        <v>21</v>
      </c>
      <c r="B279" s="102"/>
      <c r="C279" s="102"/>
      <c r="D279" s="102"/>
      <c r="E279" s="102"/>
      <c r="F279" s="102"/>
      <c r="G279" s="102"/>
      <c r="H279" s="102"/>
      <c r="I279" s="102"/>
      <c r="J279" s="103"/>
      <c r="K279" s="96">
        <f>SUM(K270:K278)</f>
        <v>116.80000000000001</v>
      </c>
      <c r="L279" s="222">
        <f>SUM(L270:L278)</f>
        <v>1</v>
      </c>
    </row>
    <row r="281" spans="1:12" x14ac:dyDescent="0.3">
      <c r="A281" s="104" t="s">
        <v>31</v>
      </c>
      <c r="B281" s="106" t="s">
        <v>284</v>
      </c>
      <c r="C281" s="107"/>
      <c r="D281" s="108"/>
      <c r="E281" s="93"/>
      <c r="F281" s="93"/>
      <c r="G281" s="93"/>
      <c r="H281" s="93"/>
      <c r="I281" s="93"/>
      <c r="J281" s="93"/>
      <c r="K281" s="93"/>
      <c r="L281" s="93"/>
    </row>
    <row r="282" spans="1:12" x14ac:dyDescent="0.3">
      <c r="A282" s="105"/>
      <c r="B282" s="109"/>
      <c r="C282" s="110"/>
      <c r="D282" s="111"/>
      <c r="E282" s="93"/>
      <c r="F282" s="93"/>
      <c r="G282" s="93"/>
      <c r="H282" s="93"/>
      <c r="I282" s="93"/>
      <c r="J282" s="93"/>
      <c r="K282" s="93"/>
      <c r="L282" s="93"/>
    </row>
    <row r="283" spans="1:12" x14ac:dyDescent="0.3">
      <c r="A283" s="112" t="s">
        <v>30</v>
      </c>
      <c r="B283" s="113"/>
      <c r="C283" s="113"/>
      <c r="D283" s="113"/>
      <c r="E283" s="113"/>
      <c r="F283" s="113"/>
      <c r="G283" s="113"/>
      <c r="H283" s="113"/>
      <c r="I283" s="113"/>
      <c r="J283" s="113"/>
      <c r="K283" s="113"/>
      <c r="L283" s="114"/>
    </row>
    <row r="284" spans="1:12" ht="39.6" x14ac:dyDescent="0.3">
      <c r="A284" s="94"/>
      <c r="B284" s="77" t="s">
        <v>23</v>
      </c>
      <c r="C284" s="77" t="s">
        <v>24</v>
      </c>
      <c r="D284" s="77" t="s">
        <v>25</v>
      </c>
      <c r="E284" s="77" t="s">
        <v>130</v>
      </c>
      <c r="F284" s="77" t="s">
        <v>131</v>
      </c>
      <c r="G284" s="77" t="s">
        <v>26</v>
      </c>
      <c r="H284" s="77" t="s">
        <v>27</v>
      </c>
      <c r="I284" s="77" t="s">
        <v>145</v>
      </c>
      <c r="J284" s="77" t="s">
        <v>147</v>
      </c>
      <c r="K284" s="77" t="s">
        <v>21</v>
      </c>
      <c r="L284" s="77" t="s">
        <v>22</v>
      </c>
    </row>
    <row r="285" spans="1:12" x14ac:dyDescent="0.3">
      <c r="A285" s="78" t="s">
        <v>23</v>
      </c>
      <c r="B285" s="92"/>
      <c r="C285" s="87">
        <v>1</v>
      </c>
      <c r="D285" s="87">
        <v>1</v>
      </c>
      <c r="E285" s="87">
        <v>5</v>
      </c>
      <c r="F285" s="87">
        <v>1</v>
      </c>
      <c r="G285" s="87">
        <v>1</v>
      </c>
      <c r="H285" s="87">
        <v>1</v>
      </c>
      <c r="I285" s="87">
        <v>5</v>
      </c>
      <c r="J285" s="87">
        <v>1</v>
      </c>
      <c r="K285" s="87">
        <f t="shared" ref="K285:K293" si="36">SUM(B285:J285)</f>
        <v>16</v>
      </c>
      <c r="L285" s="95">
        <f>K285/$K$294</f>
        <v>0.13698630136986301</v>
      </c>
    </row>
    <row r="286" spans="1:12" x14ac:dyDescent="0.3">
      <c r="A286" s="78" t="s">
        <v>24</v>
      </c>
      <c r="B286" s="87">
        <v>1</v>
      </c>
      <c r="C286" s="92"/>
      <c r="D286" s="87">
        <v>1</v>
      </c>
      <c r="E286" s="87">
        <v>5</v>
      </c>
      <c r="F286" s="87">
        <v>1</v>
      </c>
      <c r="G286" s="87">
        <v>1</v>
      </c>
      <c r="H286" s="87">
        <v>1</v>
      </c>
      <c r="I286" s="87">
        <v>5</v>
      </c>
      <c r="J286" s="87">
        <v>1</v>
      </c>
      <c r="K286" s="87">
        <f t="shared" si="36"/>
        <v>16</v>
      </c>
      <c r="L286" s="95">
        <f t="shared" ref="L286:L293" si="37">K286/$K$294</f>
        <v>0.13698630136986301</v>
      </c>
    </row>
    <row r="287" spans="1:12" x14ac:dyDescent="0.3">
      <c r="A287" s="78" t="s">
        <v>25</v>
      </c>
      <c r="B287" s="87">
        <v>1</v>
      </c>
      <c r="C287" s="87">
        <v>1</v>
      </c>
      <c r="D287" s="92"/>
      <c r="E287" s="87">
        <v>5</v>
      </c>
      <c r="F287" s="87">
        <v>1</v>
      </c>
      <c r="G287" s="87">
        <v>1</v>
      </c>
      <c r="H287" s="87">
        <v>1</v>
      </c>
      <c r="I287" s="87">
        <v>5</v>
      </c>
      <c r="J287" s="87">
        <v>1</v>
      </c>
      <c r="K287" s="87">
        <f t="shared" si="36"/>
        <v>16</v>
      </c>
      <c r="L287" s="95">
        <f t="shared" si="37"/>
        <v>0.13698630136986301</v>
      </c>
    </row>
    <row r="288" spans="1:12" x14ac:dyDescent="0.3">
      <c r="A288" s="78" t="s">
        <v>130</v>
      </c>
      <c r="B288" s="87">
        <v>0.2</v>
      </c>
      <c r="C288" s="87">
        <v>0.2</v>
      </c>
      <c r="D288" s="87">
        <v>0.2</v>
      </c>
      <c r="E288" s="92"/>
      <c r="F288" s="87">
        <v>0.2</v>
      </c>
      <c r="G288" s="87">
        <v>0.2</v>
      </c>
      <c r="H288" s="87">
        <v>0.2</v>
      </c>
      <c r="I288" s="87">
        <v>1</v>
      </c>
      <c r="J288" s="87">
        <v>0.2</v>
      </c>
      <c r="K288" s="87">
        <f t="shared" si="36"/>
        <v>2.4000000000000004</v>
      </c>
      <c r="L288" s="95">
        <f t="shared" si="37"/>
        <v>2.0547945205479454E-2</v>
      </c>
    </row>
    <row r="289" spans="1:12" x14ac:dyDescent="0.3">
      <c r="A289" s="78" t="s">
        <v>131</v>
      </c>
      <c r="B289" s="87">
        <v>1</v>
      </c>
      <c r="C289" s="87">
        <v>1</v>
      </c>
      <c r="D289" s="87">
        <v>1</v>
      </c>
      <c r="E289" s="87">
        <v>5</v>
      </c>
      <c r="F289" s="92"/>
      <c r="G289" s="87">
        <v>1</v>
      </c>
      <c r="H289" s="87">
        <v>1</v>
      </c>
      <c r="I289" s="87">
        <v>5</v>
      </c>
      <c r="J289" s="87">
        <v>1</v>
      </c>
      <c r="K289" s="87">
        <f t="shared" si="36"/>
        <v>16</v>
      </c>
      <c r="L289" s="95">
        <f t="shared" si="37"/>
        <v>0.13698630136986301</v>
      </c>
    </row>
    <row r="290" spans="1:12" x14ac:dyDescent="0.3">
      <c r="A290" s="78" t="s">
        <v>26</v>
      </c>
      <c r="B290" s="87">
        <v>1</v>
      </c>
      <c r="C290" s="87">
        <v>1</v>
      </c>
      <c r="D290" s="87">
        <v>1</v>
      </c>
      <c r="E290" s="87">
        <v>5</v>
      </c>
      <c r="F290" s="87">
        <v>1</v>
      </c>
      <c r="G290" s="92"/>
      <c r="H290" s="87">
        <v>1</v>
      </c>
      <c r="I290" s="87">
        <v>5</v>
      </c>
      <c r="J290" s="87">
        <v>1</v>
      </c>
      <c r="K290" s="87">
        <f t="shared" si="36"/>
        <v>16</v>
      </c>
      <c r="L290" s="95">
        <f t="shared" si="37"/>
        <v>0.13698630136986301</v>
      </c>
    </row>
    <row r="291" spans="1:12" x14ac:dyDescent="0.3">
      <c r="A291" s="78" t="s">
        <v>27</v>
      </c>
      <c r="B291" s="87">
        <v>1</v>
      </c>
      <c r="C291" s="87">
        <v>1</v>
      </c>
      <c r="D291" s="87">
        <v>1</v>
      </c>
      <c r="E291" s="87">
        <v>5</v>
      </c>
      <c r="F291" s="87">
        <v>1</v>
      </c>
      <c r="G291" s="87">
        <v>1</v>
      </c>
      <c r="H291" s="92"/>
      <c r="I291" s="87">
        <v>5</v>
      </c>
      <c r="J291" s="87">
        <v>1</v>
      </c>
      <c r="K291" s="87">
        <f t="shared" si="36"/>
        <v>16</v>
      </c>
      <c r="L291" s="95">
        <f t="shared" si="37"/>
        <v>0.13698630136986301</v>
      </c>
    </row>
    <row r="292" spans="1:12" x14ac:dyDescent="0.3">
      <c r="A292" s="78" t="s">
        <v>145</v>
      </c>
      <c r="B292" s="87">
        <v>0.2</v>
      </c>
      <c r="C292" s="87">
        <v>0.2</v>
      </c>
      <c r="D292" s="87">
        <v>0.2</v>
      </c>
      <c r="E292" s="87">
        <v>1</v>
      </c>
      <c r="F292" s="87">
        <v>0.2</v>
      </c>
      <c r="G292" s="87">
        <v>0.2</v>
      </c>
      <c r="H292" s="87">
        <v>0.2</v>
      </c>
      <c r="I292" s="92"/>
      <c r="J292" s="87">
        <v>0.2</v>
      </c>
      <c r="K292" s="87">
        <f t="shared" si="36"/>
        <v>2.4000000000000004</v>
      </c>
      <c r="L292" s="95">
        <f t="shared" si="37"/>
        <v>2.0547945205479454E-2</v>
      </c>
    </row>
    <row r="293" spans="1:12" x14ac:dyDescent="0.3">
      <c r="A293" s="78" t="s">
        <v>147</v>
      </c>
      <c r="B293" s="87">
        <v>1</v>
      </c>
      <c r="C293" s="87">
        <v>1</v>
      </c>
      <c r="D293" s="87">
        <v>1</v>
      </c>
      <c r="E293" s="87">
        <v>5</v>
      </c>
      <c r="F293" s="87">
        <v>1</v>
      </c>
      <c r="G293" s="87">
        <v>1</v>
      </c>
      <c r="H293" s="87">
        <v>1</v>
      </c>
      <c r="I293" s="87">
        <v>5</v>
      </c>
      <c r="J293" s="92"/>
      <c r="K293" s="87">
        <f t="shared" si="36"/>
        <v>16</v>
      </c>
      <c r="L293" s="95">
        <f t="shared" si="37"/>
        <v>0.13698630136986301</v>
      </c>
    </row>
    <row r="294" spans="1:12" x14ac:dyDescent="0.3">
      <c r="A294" s="101" t="s">
        <v>21</v>
      </c>
      <c r="B294" s="102"/>
      <c r="C294" s="102"/>
      <c r="D294" s="102"/>
      <c r="E294" s="102"/>
      <c r="F294" s="102"/>
      <c r="G294" s="102"/>
      <c r="H294" s="102"/>
      <c r="I294" s="102"/>
      <c r="J294" s="103"/>
      <c r="K294" s="96">
        <f>SUM(K285:K293)</f>
        <v>116.80000000000001</v>
      </c>
      <c r="L294" s="222">
        <f>SUM(L285:L293)</f>
        <v>1</v>
      </c>
    </row>
    <row r="296" spans="1:12" ht="14.4" customHeight="1" x14ac:dyDescent="0.3">
      <c r="A296" s="104" t="s">
        <v>31</v>
      </c>
      <c r="B296" s="106" t="s">
        <v>285</v>
      </c>
      <c r="C296" s="107"/>
      <c r="D296" s="108"/>
      <c r="E296" s="93"/>
      <c r="F296" s="93"/>
      <c r="G296" s="93"/>
      <c r="H296" s="93"/>
      <c r="I296" s="93"/>
      <c r="J296" s="93"/>
      <c r="K296" s="93"/>
      <c r="L296" s="93"/>
    </row>
    <row r="297" spans="1:12" x14ac:dyDescent="0.3">
      <c r="A297" s="105"/>
      <c r="B297" s="109"/>
      <c r="C297" s="110"/>
      <c r="D297" s="111"/>
      <c r="E297" s="93"/>
      <c r="F297" s="93"/>
      <c r="G297" s="93"/>
      <c r="H297" s="93"/>
      <c r="I297" s="93"/>
      <c r="J297" s="93"/>
      <c r="K297" s="93"/>
      <c r="L297" s="93"/>
    </row>
    <row r="298" spans="1:12" ht="14.4" customHeight="1" x14ac:dyDescent="0.3">
      <c r="A298" s="112" t="s">
        <v>30</v>
      </c>
      <c r="B298" s="113"/>
      <c r="C298" s="113"/>
      <c r="D298" s="113"/>
      <c r="E298" s="113"/>
      <c r="F298" s="113"/>
      <c r="G298" s="113"/>
      <c r="H298" s="113"/>
      <c r="I298" s="113"/>
      <c r="J298" s="113"/>
      <c r="K298" s="113"/>
      <c r="L298" s="114"/>
    </row>
    <row r="299" spans="1:12" ht="39.6" x14ac:dyDescent="0.3">
      <c r="A299" s="94"/>
      <c r="B299" s="77" t="s">
        <v>23</v>
      </c>
      <c r="C299" s="77" t="s">
        <v>24</v>
      </c>
      <c r="D299" s="77" t="s">
        <v>25</v>
      </c>
      <c r="E299" s="77" t="s">
        <v>130</v>
      </c>
      <c r="F299" s="77" t="s">
        <v>131</v>
      </c>
      <c r="G299" s="77" t="s">
        <v>26</v>
      </c>
      <c r="H299" s="77" t="s">
        <v>27</v>
      </c>
      <c r="I299" s="77" t="s">
        <v>145</v>
      </c>
      <c r="J299" s="77" t="s">
        <v>147</v>
      </c>
      <c r="K299" s="77" t="s">
        <v>21</v>
      </c>
      <c r="L299" s="77" t="s">
        <v>22</v>
      </c>
    </row>
    <row r="300" spans="1:12" x14ac:dyDescent="0.3">
      <c r="A300" s="78" t="s">
        <v>23</v>
      </c>
      <c r="B300" s="92"/>
      <c r="C300" s="87">
        <v>1</v>
      </c>
      <c r="D300" s="87">
        <v>0.2</v>
      </c>
      <c r="E300" s="87">
        <v>1</v>
      </c>
      <c r="F300" s="87">
        <v>0.2</v>
      </c>
      <c r="G300" s="87">
        <v>0.2</v>
      </c>
      <c r="H300" s="87">
        <v>0.2</v>
      </c>
      <c r="I300" s="87">
        <v>1</v>
      </c>
      <c r="J300" s="87">
        <v>1</v>
      </c>
      <c r="K300" s="87">
        <f t="shared" ref="K300:K308" si="38">SUM(B300:J300)</f>
        <v>4.8000000000000007</v>
      </c>
      <c r="L300" s="95">
        <f>K300/$K$309</f>
        <v>3.5294117647058823E-2</v>
      </c>
    </row>
    <row r="301" spans="1:12" x14ac:dyDescent="0.3">
      <c r="A301" s="78" t="s">
        <v>24</v>
      </c>
      <c r="B301" s="87">
        <v>1</v>
      </c>
      <c r="C301" s="92"/>
      <c r="D301" s="87">
        <v>0.2</v>
      </c>
      <c r="E301" s="87">
        <v>1</v>
      </c>
      <c r="F301" s="87">
        <v>0.2</v>
      </c>
      <c r="G301" s="87">
        <v>0.2</v>
      </c>
      <c r="H301" s="87">
        <v>0.2</v>
      </c>
      <c r="I301" s="87">
        <v>1</v>
      </c>
      <c r="J301" s="87">
        <v>1</v>
      </c>
      <c r="K301" s="87">
        <f t="shared" si="38"/>
        <v>4.8000000000000007</v>
      </c>
      <c r="L301" s="95">
        <f t="shared" ref="L301:L308" si="39">K301/$K$309</f>
        <v>3.5294117647058823E-2</v>
      </c>
    </row>
    <row r="302" spans="1:12" x14ac:dyDescent="0.3">
      <c r="A302" s="78" t="s">
        <v>25</v>
      </c>
      <c r="B302" s="87">
        <v>5</v>
      </c>
      <c r="C302" s="87">
        <v>5</v>
      </c>
      <c r="D302" s="92"/>
      <c r="E302" s="87">
        <v>5</v>
      </c>
      <c r="F302" s="87">
        <v>1</v>
      </c>
      <c r="G302" s="87">
        <v>1</v>
      </c>
      <c r="H302" s="87">
        <v>1</v>
      </c>
      <c r="I302" s="87">
        <v>5</v>
      </c>
      <c r="J302" s="87">
        <v>5</v>
      </c>
      <c r="K302" s="87">
        <f t="shared" si="38"/>
        <v>28</v>
      </c>
      <c r="L302" s="95">
        <f t="shared" si="39"/>
        <v>0.20588235294117643</v>
      </c>
    </row>
    <row r="303" spans="1:12" x14ac:dyDescent="0.3">
      <c r="A303" s="78" t="s">
        <v>130</v>
      </c>
      <c r="B303" s="87">
        <v>1</v>
      </c>
      <c r="C303" s="87">
        <v>1</v>
      </c>
      <c r="D303" s="87">
        <v>0.2</v>
      </c>
      <c r="E303" s="92"/>
      <c r="F303" s="87">
        <v>0.2</v>
      </c>
      <c r="G303" s="87">
        <v>0.2</v>
      </c>
      <c r="H303" s="87">
        <v>0.2</v>
      </c>
      <c r="I303" s="87">
        <v>1</v>
      </c>
      <c r="J303" s="87">
        <v>1</v>
      </c>
      <c r="K303" s="87">
        <f t="shared" si="38"/>
        <v>4.8000000000000007</v>
      </c>
      <c r="L303" s="95">
        <f t="shared" si="39"/>
        <v>3.5294117647058823E-2</v>
      </c>
    </row>
    <row r="304" spans="1:12" x14ac:dyDescent="0.3">
      <c r="A304" s="78" t="s">
        <v>131</v>
      </c>
      <c r="B304" s="87">
        <v>5</v>
      </c>
      <c r="C304" s="87">
        <v>5</v>
      </c>
      <c r="D304" s="87">
        <v>1</v>
      </c>
      <c r="E304" s="87">
        <v>5</v>
      </c>
      <c r="F304" s="92"/>
      <c r="G304" s="87">
        <v>1</v>
      </c>
      <c r="H304" s="87">
        <v>1</v>
      </c>
      <c r="I304" s="87">
        <v>5</v>
      </c>
      <c r="J304" s="87">
        <v>5</v>
      </c>
      <c r="K304" s="87">
        <f t="shared" si="38"/>
        <v>28</v>
      </c>
      <c r="L304" s="95">
        <f t="shared" si="39"/>
        <v>0.20588235294117643</v>
      </c>
    </row>
    <row r="305" spans="1:12" x14ac:dyDescent="0.3">
      <c r="A305" s="78" t="s">
        <v>26</v>
      </c>
      <c r="B305" s="87">
        <v>5</v>
      </c>
      <c r="C305" s="87">
        <v>5</v>
      </c>
      <c r="D305" s="87">
        <v>1</v>
      </c>
      <c r="E305" s="87">
        <v>5</v>
      </c>
      <c r="F305" s="87">
        <v>1</v>
      </c>
      <c r="G305" s="92"/>
      <c r="H305" s="87">
        <v>1</v>
      </c>
      <c r="I305" s="87">
        <v>5</v>
      </c>
      <c r="J305" s="87">
        <v>5</v>
      </c>
      <c r="K305" s="87">
        <f t="shared" si="38"/>
        <v>28</v>
      </c>
      <c r="L305" s="95">
        <f t="shared" si="39"/>
        <v>0.20588235294117643</v>
      </c>
    </row>
    <row r="306" spans="1:12" x14ac:dyDescent="0.3">
      <c r="A306" s="78" t="s">
        <v>27</v>
      </c>
      <c r="B306" s="87">
        <v>5</v>
      </c>
      <c r="C306" s="87">
        <v>5</v>
      </c>
      <c r="D306" s="87">
        <v>1</v>
      </c>
      <c r="E306" s="87">
        <v>5</v>
      </c>
      <c r="F306" s="87">
        <v>1</v>
      </c>
      <c r="G306" s="87">
        <v>1</v>
      </c>
      <c r="H306" s="92"/>
      <c r="I306" s="87">
        <v>5</v>
      </c>
      <c r="J306" s="87">
        <v>5</v>
      </c>
      <c r="K306" s="87">
        <f t="shared" si="38"/>
        <v>28</v>
      </c>
      <c r="L306" s="95">
        <f t="shared" si="39"/>
        <v>0.20588235294117643</v>
      </c>
    </row>
    <row r="307" spans="1:12" x14ac:dyDescent="0.3">
      <c r="A307" s="78" t="s">
        <v>145</v>
      </c>
      <c r="B307" s="87">
        <v>1</v>
      </c>
      <c r="C307" s="87">
        <v>1</v>
      </c>
      <c r="D307" s="87">
        <v>0.2</v>
      </c>
      <c r="E307" s="87">
        <v>1</v>
      </c>
      <c r="F307" s="87">
        <v>0.2</v>
      </c>
      <c r="G307" s="87">
        <v>0.2</v>
      </c>
      <c r="H307" s="87">
        <v>0.2</v>
      </c>
      <c r="I307" s="92"/>
      <c r="J307" s="87">
        <v>1</v>
      </c>
      <c r="K307" s="87">
        <f t="shared" si="38"/>
        <v>4.8000000000000007</v>
      </c>
      <c r="L307" s="95">
        <f t="shared" si="39"/>
        <v>3.5294117647058823E-2</v>
      </c>
    </row>
    <row r="308" spans="1:12" x14ac:dyDescent="0.3">
      <c r="A308" s="78" t="s">
        <v>147</v>
      </c>
      <c r="B308" s="87">
        <v>1</v>
      </c>
      <c r="C308" s="87">
        <v>1</v>
      </c>
      <c r="D308" s="87">
        <v>0.2</v>
      </c>
      <c r="E308" s="87">
        <v>1</v>
      </c>
      <c r="F308" s="87">
        <v>0.2</v>
      </c>
      <c r="G308" s="87">
        <v>0.2</v>
      </c>
      <c r="H308" s="87">
        <v>0.2</v>
      </c>
      <c r="I308" s="87">
        <v>1</v>
      </c>
      <c r="J308" s="92"/>
      <c r="K308" s="87">
        <f t="shared" si="38"/>
        <v>4.8000000000000007</v>
      </c>
      <c r="L308" s="95">
        <f t="shared" si="39"/>
        <v>3.5294117647058823E-2</v>
      </c>
    </row>
    <row r="309" spans="1:12" x14ac:dyDescent="0.3">
      <c r="A309" s="101" t="s">
        <v>21</v>
      </c>
      <c r="B309" s="102"/>
      <c r="C309" s="102"/>
      <c r="D309" s="102"/>
      <c r="E309" s="102"/>
      <c r="F309" s="102"/>
      <c r="G309" s="102"/>
      <c r="H309" s="102"/>
      <c r="I309" s="102"/>
      <c r="J309" s="103"/>
      <c r="K309" s="96">
        <f>SUM(K300:K308)</f>
        <v>136.00000000000003</v>
      </c>
      <c r="L309" s="222">
        <f>SUM(L300:L308)</f>
        <v>0.99999999999999978</v>
      </c>
    </row>
    <row r="313" spans="1:12" x14ac:dyDescent="0.3">
      <c r="B313" s="7" t="s">
        <v>38</v>
      </c>
      <c r="C313" s="8" t="s">
        <v>3</v>
      </c>
    </row>
    <row r="314" spans="1:12" x14ac:dyDescent="0.3">
      <c r="B314" s="7" t="s">
        <v>251</v>
      </c>
      <c r="C314" s="8">
        <f>K22</f>
        <v>184.6</v>
      </c>
      <c r="D314" s="25">
        <v>1</v>
      </c>
    </row>
    <row r="315" spans="1:12" x14ac:dyDescent="0.3">
      <c r="B315" s="7" t="s">
        <v>255</v>
      </c>
      <c r="C315" s="8">
        <f>K38</f>
        <v>170.1</v>
      </c>
      <c r="D315" s="25">
        <v>2</v>
      </c>
    </row>
    <row r="316" spans="1:12" x14ac:dyDescent="0.3">
      <c r="B316" s="7" t="s">
        <v>252</v>
      </c>
      <c r="C316" s="8">
        <f>K54</f>
        <v>168.39999999999998</v>
      </c>
      <c r="D316" s="25">
        <v>4</v>
      </c>
    </row>
    <row r="317" spans="1:12" x14ac:dyDescent="0.3">
      <c r="B317" s="7" t="s">
        <v>256</v>
      </c>
      <c r="C317" s="8">
        <f>K69</f>
        <v>165.4</v>
      </c>
      <c r="D317" s="25">
        <v>5</v>
      </c>
    </row>
    <row r="318" spans="1:12" x14ac:dyDescent="0.3">
      <c r="B318" s="7" t="s">
        <v>257</v>
      </c>
      <c r="C318" s="8">
        <f>K84</f>
        <v>170.1</v>
      </c>
      <c r="D318" s="25">
        <v>3</v>
      </c>
    </row>
    <row r="319" spans="1:12" x14ac:dyDescent="0.3">
      <c r="B319" s="7" t="s">
        <v>258</v>
      </c>
      <c r="C319" s="8">
        <f>K99</f>
        <v>165.4</v>
      </c>
      <c r="D319" s="25">
        <v>6</v>
      </c>
    </row>
    <row r="320" spans="1:12" x14ac:dyDescent="0.3">
      <c r="B320" s="7" t="s">
        <v>254</v>
      </c>
      <c r="C320" s="8">
        <f>K114</f>
        <v>145.80000000000001</v>
      </c>
      <c r="D320" s="25">
        <v>7</v>
      </c>
    </row>
    <row r="321" spans="2:4" x14ac:dyDescent="0.3">
      <c r="B321" s="7" t="s">
        <v>253</v>
      </c>
      <c r="C321" s="8">
        <f>K129</f>
        <v>136</v>
      </c>
      <c r="D321" s="25">
        <v>8</v>
      </c>
    </row>
    <row r="322" spans="2:4" x14ac:dyDescent="0.3">
      <c r="B322" s="7" t="s">
        <v>259</v>
      </c>
      <c r="C322" s="8">
        <f>K144</f>
        <v>116.80000000000001</v>
      </c>
      <c r="D322" s="25">
        <v>11</v>
      </c>
    </row>
    <row r="323" spans="2:4" x14ac:dyDescent="0.3">
      <c r="B323" s="7" t="s">
        <v>260</v>
      </c>
      <c r="C323" s="8">
        <f>K159</f>
        <v>97.6</v>
      </c>
      <c r="D323" s="25">
        <v>18</v>
      </c>
    </row>
    <row r="324" spans="2:4" x14ac:dyDescent="0.3">
      <c r="B324" s="7" t="s">
        <v>261</v>
      </c>
      <c r="C324" s="8">
        <f>K174</f>
        <v>136.00000000000003</v>
      </c>
      <c r="D324" s="25">
        <v>9</v>
      </c>
    </row>
    <row r="325" spans="2:4" x14ac:dyDescent="0.3">
      <c r="B325" s="7" t="s">
        <v>262</v>
      </c>
      <c r="C325" s="8">
        <f>K189</f>
        <v>116.8</v>
      </c>
      <c r="D325" s="25">
        <v>12</v>
      </c>
    </row>
    <row r="326" spans="2:4" x14ac:dyDescent="0.3">
      <c r="B326" s="7" t="s">
        <v>263</v>
      </c>
      <c r="C326" s="8">
        <f>K204</f>
        <v>116.80000000000001</v>
      </c>
      <c r="D326" s="25">
        <v>13</v>
      </c>
    </row>
    <row r="327" spans="2:4" x14ac:dyDescent="0.3">
      <c r="B327" s="7" t="s">
        <v>264</v>
      </c>
      <c r="C327" s="8">
        <f>K219</f>
        <v>116.80000000000001</v>
      </c>
      <c r="D327" s="25">
        <v>14</v>
      </c>
    </row>
    <row r="328" spans="2:4" x14ac:dyDescent="0.3">
      <c r="B328" s="7" t="s">
        <v>265</v>
      </c>
      <c r="C328" s="8">
        <f>K234</f>
        <v>97.6</v>
      </c>
      <c r="D328" s="25">
        <v>19</v>
      </c>
    </row>
    <row r="329" spans="2:4" x14ac:dyDescent="0.3">
      <c r="B329" s="7" t="s">
        <v>266</v>
      </c>
      <c r="C329" s="8">
        <f>K249</f>
        <v>116.80000000000001</v>
      </c>
      <c r="D329" s="25">
        <v>15</v>
      </c>
    </row>
    <row r="330" spans="2:4" x14ac:dyDescent="0.3">
      <c r="B330" s="7" t="s">
        <v>267</v>
      </c>
      <c r="C330" s="8">
        <f>K264</f>
        <v>97.6</v>
      </c>
      <c r="D330" s="25">
        <v>20</v>
      </c>
    </row>
    <row r="331" spans="2:4" x14ac:dyDescent="0.3">
      <c r="B331" s="7" t="s">
        <v>286</v>
      </c>
      <c r="C331" s="8">
        <f>K279</f>
        <v>116.80000000000001</v>
      </c>
      <c r="D331" s="25">
        <v>16</v>
      </c>
    </row>
    <row r="332" spans="2:4" x14ac:dyDescent="0.3">
      <c r="B332" s="7" t="s">
        <v>287</v>
      </c>
      <c r="C332" s="8">
        <f>K294</f>
        <v>116.80000000000001</v>
      </c>
      <c r="D332" s="25">
        <v>17</v>
      </c>
    </row>
    <row r="333" spans="2:4" x14ac:dyDescent="0.3">
      <c r="B333" s="7" t="s">
        <v>288</v>
      </c>
      <c r="C333" s="8">
        <f>K309</f>
        <v>136.00000000000003</v>
      </c>
      <c r="D333" s="25">
        <v>10</v>
      </c>
    </row>
    <row r="337" spans="2:3" x14ac:dyDescent="0.3">
      <c r="B337" s="7" t="s">
        <v>251</v>
      </c>
      <c r="C337" s="25">
        <v>1</v>
      </c>
    </row>
    <row r="338" spans="2:3" x14ac:dyDescent="0.3">
      <c r="B338" s="7" t="s">
        <v>255</v>
      </c>
      <c r="C338" s="25">
        <v>2</v>
      </c>
    </row>
    <row r="339" spans="2:3" x14ac:dyDescent="0.3">
      <c r="B339" s="7" t="s">
        <v>257</v>
      </c>
      <c r="C339" s="25">
        <v>3</v>
      </c>
    </row>
    <row r="340" spans="2:3" x14ac:dyDescent="0.3">
      <c r="B340" s="7" t="s">
        <v>252</v>
      </c>
      <c r="C340" s="25">
        <v>4</v>
      </c>
    </row>
    <row r="341" spans="2:3" x14ac:dyDescent="0.3">
      <c r="B341" s="7" t="s">
        <v>256</v>
      </c>
      <c r="C341" s="25">
        <v>5</v>
      </c>
    </row>
    <row r="342" spans="2:3" x14ac:dyDescent="0.3">
      <c r="B342" s="7" t="s">
        <v>258</v>
      </c>
      <c r="C342" s="25">
        <v>6</v>
      </c>
    </row>
    <row r="343" spans="2:3" x14ac:dyDescent="0.3">
      <c r="B343" s="7" t="s">
        <v>254</v>
      </c>
      <c r="C343" s="25">
        <v>7</v>
      </c>
    </row>
    <row r="344" spans="2:3" x14ac:dyDescent="0.3">
      <c r="B344" s="7" t="s">
        <v>253</v>
      </c>
      <c r="C344" s="25">
        <v>8</v>
      </c>
    </row>
    <row r="345" spans="2:3" x14ac:dyDescent="0.3">
      <c r="B345" s="7" t="s">
        <v>261</v>
      </c>
      <c r="C345" s="25">
        <v>9</v>
      </c>
    </row>
    <row r="346" spans="2:3" x14ac:dyDescent="0.3">
      <c r="B346" s="7" t="s">
        <v>288</v>
      </c>
      <c r="C346" s="25">
        <v>10</v>
      </c>
    </row>
    <row r="347" spans="2:3" x14ac:dyDescent="0.3">
      <c r="B347" s="7" t="s">
        <v>259</v>
      </c>
      <c r="C347" s="25">
        <v>11</v>
      </c>
    </row>
    <row r="348" spans="2:3" x14ac:dyDescent="0.3">
      <c r="B348" s="7" t="s">
        <v>262</v>
      </c>
      <c r="C348" s="25">
        <v>12</v>
      </c>
    </row>
    <row r="349" spans="2:3" x14ac:dyDescent="0.3">
      <c r="B349" s="7" t="s">
        <v>263</v>
      </c>
      <c r="C349" s="25">
        <v>13</v>
      </c>
    </row>
    <row r="350" spans="2:3" x14ac:dyDescent="0.3">
      <c r="B350" s="7" t="s">
        <v>264</v>
      </c>
      <c r="C350" s="25">
        <v>14</v>
      </c>
    </row>
    <row r="351" spans="2:3" x14ac:dyDescent="0.3">
      <c r="B351" s="7" t="s">
        <v>266</v>
      </c>
      <c r="C351" s="25">
        <v>15</v>
      </c>
    </row>
    <row r="352" spans="2:3" x14ac:dyDescent="0.3">
      <c r="B352" s="7" t="s">
        <v>286</v>
      </c>
      <c r="C352" s="25">
        <v>16</v>
      </c>
    </row>
    <row r="353" spans="2:3" x14ac:dyDescent="0.3">
      <c r="B353" s="7" t="s">
        <v>287</v>
      </c>
      <c r="C353" s="25">
        <v>17</v>
      </c>
    </row>
    <row r="354" spans="2:3" x14ac:dyDescent="0.3">
      <c r="B354" s="7" t="s">
        <v>260</v>
      </c>
      <c r="C354" s="25">
        <v>18</v>
      </c>
    </row>
    <row r="355" spans="2:3" x14ac:dyDescent="0.3">
      <c r="B355" s="7" t="s">
        <v>265</v>
      </c>
      <c r="C355" s="25">
        <v>19</v>
      </c>
    </row>
    <row r="356" spans="2:3" x14ac:dyDescent="0.3">
      <c r="B356" s="7" t="s">
        <v>267</v>
      </c>
      <c r="C356" s="223">
        <v>20</v>
      </c>
    </row>
  </sheetData>
  <mergeCells count="90">
    <mergeCell ref="A309:J309"/>
    <mergeCell ref="A296:A297"/>
    <mergeCell ref="B296:D297"/>
    <mergeCell ref="A298:L298"/>
    <mergeCell ref="A283:L283"/>
    <mergeCell ref="A294:J294"/>
    <mergeCell ref="A266:A267"/>
    <mergeCell ref="B266:D267"/>
    <mergeCell ref="A268:L268"/>
    <mergeCell ref="A279:J279"/>
    <mergeCell ref="A281:A282"/>
    <mergeCell ref="B281:D282"/>
    <mergeCell ref="A129:J129"/>
    <mergeCell ref="A103:L103"/>
    <mergeCell ref="A114:J114"/>
    <mergeCell ref="A116:A117"/>
    <mergeCell ref="B116:D117"/>
    <mergeCell ref="A118:L118"/>
    <mergeCell ref="A86:A87"/>
    <mergeCell ref="B86:D87"/>
    <mergeCell ref="A88:L88"/>
    <mergeCell ref="A99:J99"/>
    <mergeCell ref="A101:A102"/>
    <mergeCell ref="B101:D102"/>
    <mergeCell ref="A69:J69"/>
    <mergeCell ref="A71:A72"/>
    <mergeCell ref="B71:D72"/>
    <mergeCell ref="A73:L73"/>
    <mergeCell ref="A84:J84"/>
    <mergeCell ref="A56:A57"/>
    <mergeCell ref="B56:D57"/>
    <mergeCell ref="A58:L58"/>
    <mergeCell ref="A43:L43"/>
    <mergeCell ref="A54:J54"/>
    <mergeCell ref="A25:A26"/>
    <mergeCell ref="B25:D26"/>
    <mergeCell ref="A27:L27"/>
    <mergeCell ref="A38:J38"/>
    <mergeCell ref="A41:A42"/>
    <mergeCell ref="B41:D42"/>
    <mergeCell ref="A11:L11"/>
    <mergeCell ref="A22:J22"/>
    <mergeCell ref="B9:D10"/>
    <mergeCell ref="A9:A10"/>
    <mergeCell ref="A2:B2"/>
    <mergeCell ref="C2:D2"/>
    <mergeCell ref="A3:B3"/>
    <mergeCell ref="C3:D3"/>
    <mergeCell ref="A4:B4"/>
    <mergeCell ref="C4:D4"/>
    <mergeCell ref="A5:B5"/>
    <mergeCell ref="C5:D5"/>
    <mergeCell ref="A6:B6"/>
    <mergeCell ref="C6:D6"/>
    <mergeCell ref="A131:A132"/>
    <mergeCell ref="B131:D132"/>
    <mergeCell ref="A133:L133"/>
    <mergeCell ref="A144:J144"/>
    <mergeCell ref="A146:A147"/>
    <mergeCell ref="B146:D147"/>
    <mergeCell ref="A148:L148"/>
    <mergeCell ref="A159:J159"/>
    <mergeCell ref="A161:A162"/>
    <mergeCell ref="B161:D162"/>
    <mergeCell ref="A163:L163"/>
    <mergeCell ref="A174:J174"/>
    <mergeCell ref="A176:A177"/>
    <mergeCell ref="B176:D177"/>
    <mergeCell ref="A178:L178"/>
    <mergeCell ref="A189:J189"/>
    <mergeCell ref="A208:L208"/>
    <mergeCell ref="A219:J219"/>
    <mergeCell ref="A191:A192"/>
    <mergeCell ref="B191:D192"/>
    <mergeCell ref="A193:L193"/>
    <mergeCell ref="A204:J204"/>
    <mergeCell ref="A206:A207"/>
    <mergeCell ref="B206:D207"/>
    <mergeCell ref="A234:J234"/>
    <mergeCell ref="A221:A222"/>
    <mergeCell ref="B221:D222"/>
    <mergeCell ref="A223:L223"/>
    <mergeCell ref="A236:A237"/>
    <mergeCell ref="B236:D237"/>
    <mergeCell ref="A264:J264"/>
    <mergeCell ref="A251:A252"/>
    <mergeCell ref="B251:D252"/>
    <mergeCell ref="A253:L253"/>
    <mergeCell ref="A238:L238"/>
    <mergeCell ref="A249:J249"/>
  </mergeCell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2"/>
  <sheetViews>
    <sheetView zoomScale="110" zoomScaleNormal="110" workbookViewId="0">
      <selection activeCell="C36" sqref="C36"/>
    </sheetView>
  </sheetViews>
  <sheetFormatPr baseColWidth="10" defaultRowHeight="14.4" x14ac:dyDescent="0.3"/>
  <cols>
    <col min="1" max="1" width="7.33203125" customWidth="1"/>
    <col min="2" max="2" width="32.109375" customWidth="1"/>
    <col min="3" max="3" width="43.21875" customWidth="1"/>
    <col min="4" max="4" width="34.33203125" customWidth="1"/>
    <col min="5" max="5" width="44.109375" customWidth="1"/>
  </cols>
  <sheetData>
    <row r="1" spans="1:5" ht="15" thickBot="1" x14ac:dyDescent="0.35"/>
    <row r="2" spans="1:5" ht="14.4" customHeight="1" x14ac:dyDescent="0.3">
      <c r="A2" s="190" t="s">
        <v>7</v>
      </c>
      <c r="B2" s="191"/>
      <c r="C2" s="190" t="s">
        <v>178</v>
      </c>
      <c r="D2" s="191"/>
      <c r="E2" s="59"/>
    </row>
    <row r="3" spans="1:5" ht="14.4" customHeight="1" x14ac:dyDescent="0.3">
      <c r="A3" s="184" t="s">
        <v>16</v>
      </c>
      <c r="B3" s="125"/>
      <c r="C3" s="184" t="s">
        <v>177</v>
      </c>
      <c r="D3" s="125"/>
      <c r="E3" s="59"/>
    </row>
    <row r="4" spans="1:5" ht="14.4" customHeight="1" x14ac:dyDescent="0.3">
      <c r="A4" s="178" t="s">
        <v>8</v>
      </c>
      <c r="B4" s="179"/>
      <c r="C4" s="192" t="s">
        <v>179</v>
      </c>
      <c r="D4" s="193"/>
      <c r="E4" s="59"/>
    </row>
    <row r="5" spans="1:5" ht="14.4" customHeight="1" x14ac:dyDescent="0.3">
      <c r="A5" s="184" t="s">
        <v>9</v>
      </c>
      <c r="B5" s="125"/>
      <c r="C5" s="194" t="s">
        <v>180</v>
      </c>
      <c r="D5" s="195"/>
      <c r="E5" s="59"/>
    </row>
    <row r="6" spans="1:5" ht="14.4" customHeight="1" x14ac:dyDescent="0.3">
      <c r="A6" s="178" t="s">
        <v>10</v>
      </c>
      <c r="B6" s="179"/>
      <c r="C6" s="196" t="s">
        <v>181</v>
      </c>
      <c r="D6" s="197"/>
      <c r="E6" s="59"/>
    </row>
    <row r="7" spans="1:5" ht="15" customHeight="1" x14ac:dyDescent="0.3">
      <c r="A7" s="180" t="s">
        <v>11</v>
      </c>
      <c r="B7" s="181"/>
      <c r="C7" s="194" t="s">
        <v>182</v>
      </c>
      <c r="D7" s="195"/>
      <c r="E7" s="59"/>
    </row>
    <row r="8" spans="1:5" x14ac:dyDescent="0.3">
      <c r="A8" s="182"/>
      <c r="B8" s="183"/>
      <c r="C8" s="194" t="s">
        <v>183</v>
      </c>
      <c r="D8" s="195"/>
      <c r="E8" s="59"/>
    </row>
    <row r="9" spans="1:5" ht="14.4" customHeight="1" x14ac:dyDescent="0.3">
      <c r="A9" s="178" t="s">
        <v>12</v>
      </c>
      <c r="B9" s="179"/>
      <c r="C9" s="196" t="s">
        <v>184</v>
      </c>
      <c r="D9" s="197"/>
      <c r="E9" s="59"/>
    </row>
    <row r="10" spans="1:5" ht="30.75" customHeight="1" x14ac:dyDescent="0.3">
      <c r="A10" s="184" t="s">
        <v>13</v>
      </c>
      <c r="B10" s="125"/>
      <c r="C10" s="198" t="s">
        <v>185</v>
      </c>
      <c r="D10" s="199"/>
      <c r="E10" s="59"/>
    </row>
    <row r="11" spans="1:5" ht="15" customHeight="1" thickBot="1" x14ac:dyDescent="0.35">
      <c r="A11" s="202" t="s">
        <v>14</v>
      </c>
      <c r="B11" s="203"/>
      <c r="C11" s="200" t="s">
        <v>15</v>
      </c>
      <c r="D11" s="201"/>
      <c r="E11" s="59"/>
    </row>
    <row r="12" spans="1:5" x14ac:dyDescent="0.3">
      <c r="A12" s="59"/>
      <c r="B12" s="59"/>
      <c r="C12" s="59"/>
      <c r="D12" s="59"/>
      <c r="E12" s="59"/>
    </row>
    <row r="13" spans="1:5" ht="15" thickBot="1" x14ac:dyDescent="0.35">
      <c r="A13" s="59"/>
      <c r="B13" s="59"/>
      <c r="C13" s="59"/>
      <c r="D13" s="59"/>
      <c r="E13" s="59"/>
    </row>
    <row r="14" spans="1:5" ht="22.2" customHeight="1" thickBot="1" x14ac:dyDescent="0.35">
      <c r="A14" s="185" t="s">
        <v>20</v>
      </c>
      <c r="B14" s="186"/>
      <c r="C14" s="186"/>
      <c r="D14" s="186"/>
      <c r="E14" s="187"/>
    </row>
    <row r="15" spans="1:5" ht="15" thickBot="1" x14ac:dyDescent="0.35">
      <c r="A15" s="60" t="s">
        <v>0</v>
      </c>
      <c r="B15" s="61" t="s">
        <v>1</v>
      </c>
      <c r="C15" s="62" t="s">
        <v>4</v>
      </c>
      <c r="D15" s="63" t="s">
        <v>2</v>
      </c>
      <c r="E15" s="64" t="s">
        <v>5</v>
      </c>
    </row>
    <row r="16" spans="1:5" ht="29.4" thickBot="1" x14ac:dyDescent="0.35">
      <c r="A16" s="65">
        <v>1</v>
      </c>
      <c r="B16" s="66" t="s">
        <v>186</v>
      </c>
      <c r="C16" s="67" t="s">
        <v>187</v>
      </c>
      <c r="D16" s="68" t="s">
        <v>188</v>
      </c>
      <c r="E16" s="69" t="s">
        <v>189</v>
      </c>
    </row>
    <row r="17" spans="1:5" ht="29.4" thickBot="1" x14ac:dyDescent="0.35">
      <c r="A17" s="65">
        <v>2</v>
      </c>
      <c r="B17" s="66" t="s">
        <v>190</v>
      </c>
      <c r="C17" s="67" t="s">
        <v>191</v>
      </c>
      <c r="D17" s="68" t="s">
        <v>192</v>
      </c>
      <c r="E17" s="69" t="s">
        <v>193</v>
      </c>
    </row>
    <row r="18" spans="1:5" ht="29.4" thickBot="1" x14ac:dyDescent="0.35">
      <c r="A18" s="65">
        <v>3</v>
      </c>
      <c r="B18" s="66" t="s">
        <v>194</v>
      </c>
      <c r="C18" s="67" t="s">
        <v>195</v>
      </c>
      <c r="D18" s="68" t="s">
        <v>196</v>
      </c>
      <c r="E18" s="69"/>
    </row>
    <row r="19" spans="1:5" ht="29.4" thickBot="1" x14ac:dyDescent="0.35">
      <c r="A19" s="65">
        <v>4</v>
      </c>
      <c r="B19" s="66" t="s">
        <v>197</v>
      </c>
      <c r="C19" s="67" t="s">
        <v>198</v>
      </c>
      <c r="D19" s="68" t="s">
        <v>199</v>
      </c>
      <c r="E19" s="69" t="s">
        <v>200</v>
      </c>
    </row>
    <row r="20" spans="1:5" ht="29.4" thickBot="1" x14ac:dyDescent="0.35">
      <c r="A20" s="65">
        <v>5</v>
      </c>
      <c r="B20" s="66" t="s">
        <v>201</v>
      </c>
      <c r="C20" s="67" t="s">
        <v>202</v>
      </c>
      <c r="D20" s="68" t="s">
        <v>203</v>
      </c>
      <c r="E20" s="69" t="s">
        <v>204</v>
      </c>
    </row>
    <row r="21" spans="1:5" ht="29.4" thickBot="1" x14ac:dyDescent="0.35">
      <c r="A21" s="65">
        <v>6</v>
      </c>
      <c r="B21" s="66" t="s">
        <v>205</v>
      </c>
      <c r="C21" s="67" t="s">
        <v>206</v>
      </c>
      <c r="D21" s="68" t="s">
        <v>207</v>
      </c>
      <c r="E21" s="69" t="s">
        <v>208</v>
      </c>
    </row>
    <row r="22" spans="1:5" ht="29.4" thickBot="1" x14ac:dyDescent="0.35">
      <c r="A22" s="65">
        <v>7</v>
      </c>
      <c r="B22" s="66" t="s">
        <v>209</v>
      </c>
      <c r="C22" s="67" t="s">
        <v>210</v>
      </c>
      <c r="D22" s="68" t="s">
        <v>211</v>
      </c>
      <c r="E22" s="69" t="s">
        <v>212</v>
      </c>
    </row>
    <row r="23" spans="1:5" ht="29.4" thickBot="1" x14ac:dyDescent="0.35">
      <c r="A23" s="65">
        <v>8</v>
      </c>
      <c r="B23" s="66" t="s">
        <v>213</v>
      </c>
      <c r="C23" s="67" t="s">
        <v>214</v>
      </c>
      <c r="D23" s="68" t="s">
        <v>215</v>
      </c>
      <c r="E23" s="69" t="s">
        <v>216</v>
      </c>
    </row>
    <row r="24" spans="1:5" ht="29.4" thickBot="1" x14ac:dyDescent="0.35">
      <c r="A24" s="65">
        <v>9</v>
      </c>
      <c r="B24" s="66" t="s">
        <v>217</v>
      </c>
      <c r="C24" s="67"/>
      <c r="D24" s="68"/>
      <c r="E24" s="69"/>
    </row>
    <row r="25" spans="1:5" ht="29.4" thickBot="1" x14ac:dyDescent="0.35">
      <c r="A25" s="65">
        <v>10</v>
      </c>
      <c r="B25" s="66" t="s">
        <v>218</v>
      </c>
      <c r="C25" s="67" t="s">
        <v>219</v>
      </c>
      <c r="D25" s="68"/>
      <c r="E25" s="69"/>
    </row>
    <row r="26" spans="1:5" ht="29.4" thickBot="1" x14ac:dyDescent="0.35">
      <c r="A26" s="65">
        <v>11</v>
      </c>
      <c r="B26" s="66" t="s">
        <v>220</v>
      </c>
      <c r="C26" s="67" t="s">
        <v>221</v>
      </c>
      <c r="D26" s="68"/>
      <c r="E26" s="69"/>
    </row>
    <row r="27" spans="1:5" ht="29.4" thickBot="1" x14ac:dyDescent="0.35">
      <c r="A27" s="65">
        <v>12</v>
      </c>
      <c r="B27" s="66" t="s">
        <v>222</v>
      </c>
      <c r="C27" s="67"/>
      <c r="D27" s="68"/>
      <c r="E27" s="69"/>
    </row>
    <row r="28" spans="1:5" ht="29.4" thickBot="1" x14ac:dyDescent="0.35">
      <c r="A28" s="65">
        <v>13</v>
      </c>
      <c r="B28" s="66" t="s">
        <v>223</v>
      </c>
      <c r="C28" s="67"/>
      <c r="D28" s="68"/>
      <c r="E28" s="69"/>
    </row>
    <row r="29" spans="1:5" ht="29.4" thickBot="1" x14ac:dyDescent="0.35">
      <c r="A29" s="65">
        <v>14</v>
      </c>
      <c r="B29" s="66" t="s">
        <v>224</v>
      </c>
      <c r="C29" s="67" t="s">
        <v>225</v>
      </c>
      <c r="D29" s="68"/>
      <c r="E29" s="69"/>
    </row>
    <row r="30" spans="1:5" ht="29.4" thickBot="1" x14ac:dyDescent="0.35">
      <c r="A30" s="65">
        <v>15</v>
      </c>
      <c r="B30" s="66" t="s">
        <v>226</v>
      </c>
      <c r="C30" s="67" t="s">
        <v>227</v>
      </c>
      <c r="D30" s="68"/>
      <c r="E30" s="69"/>
    </row>
    <row r="31" spans="1:5" ht="43.8" thickBot="1" x14ac:dyDescent="0.35">
      <c r="A31" s="65">
        <v>16</v>
      </c>
      <c r="B31" s="66" t="s">
        <v>268</v>
      </c>
      <c r="C31" s="67" t="s">
        <v>269</v>
      </c>
      <c r="D31" s="68"/>
      <c r="E31" s="69"/>
    </row>
    <row r="32" spans="1:5" ht="43.8" thickBot="1" x14ac:dyDescent="0.35">
      <c r="A32" s="213">
        <v>17</v>
      </c>
      <c r="B32" s="214" t="s">
        <v>270</v>
      </c>
      <c r="C32" s="215" t="s">
        <v>271</v>
      </c>
      <c r="D32" s="68"/>
      <c r="E32" s="69"/>
    </row>
    <row r="33" spans="1:5" ht="43.8" thickBot="1" x14ac:dyDescent="0.35">
      <c r="A33" s="216">
        <v>18</v>
      </c>
      <c r="B33" s="219" t="s">
        <v>272</v>
      </c>
      <c r="C33" s="220" t="s">
        <v>273</v>
      </c>
      <c r="D33" s="68"/>
      <c r="E33" s="69"/>
    </row>
    <row r="34" spans="1:5" ht="43.8" thickBot="1" x14ac:dyDescent="0.35">
      <c r="A34" s="216">
        <v>19</v>
      </c>
      <c r="B34" s="217" t="s">
        <v>274</v>
      </c>
      <c r="C34" s="218" t="s">
        <v>275</v>
      </c>
      <c r="D34" s="68"/>
      <c r="E34" s="69"/>
    </row>
    <row r="35" spans="1:5" ht="43.2" customHeight="1" thickBot="1" x14ac:dyDescent="0.35">
      <c r="A35" s="221">
        <v>20</v>
      </c>
      <c r="B35" s="217" t="s">
        <v>276</v>
      </c>
      <c r="C35" s="218" t="s">
        <v>277</v>
      </c>
      <c r="D35" s="68"/>
      <c r="E35" s="69"/>
    </row>
    <row r="36" spans="1:5" ht="21.75" customHeight="1" thickBot="1" x14ac:dyDescent="0.35">
      <c r="A36" s="70" t="s">
        <v>3</v>
      </c>
      <c r="B36" s="71">
        <f>COUNTA(B16:B35)</f>
        <v>20</v>
      </c>
      <c r="C36" s="71">
        <f>COUNTA(C16:C35)</f>
        <v>17</v>
      </c>
      <c r="D36" s="71">
        <f t="shared" ref="D36:E36" si="0">COUNTA(D16:D35)</f>
        <v>8</v>
      </c>
      <c r="E36" s="71">
        <f t="shared" si="0"/>
        <v>7</v>
      </c>
    </row>
    <row r="37" spans="1:5" x14ac:dyDescent="0.3">
      <c r="A37" s="72"/>
      <c r="B37" s="73"/>
      <c r="C37" s="73"/>
      <c r="D37" s="73"/>
      <c r="E37" s="73"/>
    </row>
    <row r="38" spans="1:5" x14ac:dyDescent="0.3">
      <c r="A38" s="72"/>
      <c r="B38" s="73"/>
      <c r="C38" s="73"/>
      <c r="D38" s="73"/>
      <c r="E38" s="73"/>
    </row>
    <row r="39" spans="1:5" x14ac:dyDescent="0.3">
      <c r="A39" s="59"/>
      <c r="B39" s="59"/>
      <c r="C39" s="59"/>
      <c r="D39" s="59"/>
      <c r="E39" s="59"/>
    </row>
    <row r="40" spans="1:5" x14ac:dyDescent="0.3">
      <c r="A40" s="59"/>
      <c r="B40" s="59"/>
      <c r="C40" s="59"/>
      <c r="D40" s="59"/>
      <c r="E40" s="59"/>
    </row>
    <row r="41" spans="1:5" x14ac:dyDescent="0.3">
      <c r="A41" s="59"/>
      <c r="B41" s="59"/>
      <c r="C41" s="59"/>
      <c r="D41" s="59"/>
      <c r="E41" s="59"/>
    </row>
    <row r="42" spans="1:5" x14ac:dyDescent="0.3">
      <c r="A42" s="59"/>
      <c r="B42" s="59"/>
      <c r="C42" s="59"/>
      <c r="D42" s="59"/>
      <c r="E42" s="59"/>
    </row>
    <row r="43" spans="1:5" x14ac:dyDescent="0.3">
      <c r="A43" s="59"/>
      <c r="B43" s="59"/>
      <c r="C43" s="59"/>
      <c r="D43" s="59"/>
      <c r="E43" s="59"/>
    </row>
    <row r="44" spans="1:5" x14ac:dyDescent="0.3">
      <c r="A44" s="59"/>
      <c r="B44" s="59"/>
      <c r="C44" s="59"/>
      <c r="D44" s="59"/>
      <c r="E44" s="59"/>
    </row>
    <row r="45" spans="1:5" x14ac:dyDescent="0.3">
      <c r="A45" s="59"/>
      <c r="B45" s="59"/>
      <c r="C45" s="59"/>
      <c r="D45" s="59"/>
      <c r="E45" s="59"/>
    </row>
    <row r="46" spans="1:5" x14ac:dyDescent="0.3">
      <c r="A46" s="59"/>
      <c r="B46" s="59"/>
      <c r="C46" s="59"/>
      <c r="D46" s="59"/>
      <c r="E46" s="59"/>
    </row>
    <row r="47" spans="1:5" x14ac:dyDescent="0.3">
      <c r="A47" s="59"/>
      <c r="B47" s="59"/>
      <c r="C47" s="59"/>
      <c r="D47" s="59"/>
      <c r="E47" s="59"/>
    </row>
    <row r="48" spans="1:5" x14ac:dyDescent="0.3">
      <c r="A48" s="59"/>
      <c r="B48" s="59"/>
      <c r="C48" s="59"/>
      <c r="D48" s="59"/>
      <c r="E48" s="59"/>
    </row>
    <row r="49" spans="1:5" x14ac:dyDescent="0.3">
      <c r="A49" s="59"/>
      <c r="B49" s="59"/>
      <c r="C49" s="59"/>
      <c r="D49" s="59"/>
      <c r="E49" s="59"/>
    </row>
    <row r="50" spans="1:5" x14ac:dyDescent="0.3">
      <c r="A50" s="59"/>
      <c r="B50" s="59"/>
      <c r="C50" s="59"/>
      <c r="D50" s="59"/>
      <c r="E50" s="59"/>
    </row>
    <row r="51" spans="1:5" x14ac:dyDescent="0.3">
      <c r="A51" s="59"/>
      <c r="B51" s="59"/>
      <c r="C51" s="59"/>
      <c r="D51" s="59"/>
      <c r="E51" s="59"/>
    </row>
    <row r="52" spans="1:5" x14ac:dyDescent="0.3">
      <c r="A52" s="59"/>
      <c r="B52" s="59"/>
      <c r="C52" s="59"/>
      <c r="D52" s="59"/>
      <c r="E52" s="59"/>
    </row>
    <row r="53" spans="1:5" x14ac:dyDescent="0.3">
      <c r="A53" s="59"/>
      <c r="B53" s="59"/>
      <c r="C53" s="59"/>
      <c r="D53" s="59"/>
      <c r="E53" s="59"/>
    </row>
    <row r="54" spans="1:5" x14ac:dyDescent="0.3">
      <c r="A54" s="59"/>
      <c r="B54" s="59"/>
      <c r="C54" s="59"/>
      <c r="D54" s="59"/>
      <c r="E54" s="59"/>
    </row>
    <row r="55" spans="1:5" x14ac:dyDescent="0.3">
      <c r="A55" s="59"/>
      <c r="B55" s="59"/>
      <c r="C55" s="59"/>
      <c r="D55" s="59"/>
      <c r="E55" s="59"/>
    </row>
    <row r="56" spans="1:5" x14ac:dyDescent="0.3">
      <c r="A56" s="59"/>
      <c r="B56" s="59"/>
      <c r="C56" s="59"/>
      <c r="D56" s="59"/>
      <c r="E56" s="59"/>
    </row>
    <row r="57" spans="1:5" ht="15" thickBot="1" x14ac:dyDescent="0.35">
      <c r="A57" s="59"/>
      <c r="B57" s="59"/>
      <c r="C57" s="59"/>
      <c r="D57" s="59"/>
      <c r="E57" s="59"/>
    </row>
    <row r="58" spans="1:5" ht="15" thickBot="1" x14ac:dyDescent="0.35">
      <c r="A58" s="59"/>
      <c r="B58" s="188" t="s">
        <v>6</v>
      </c>
      <c r="C58" s="189"/>
      <c r="D58" s="59"/>
      <c r="E58" s="59"/>
    </row>
    <row r="59" spans="1:5" x14ac:dyDescent="0.3">
      <c r="A59" s="59"/>
      <c r="B59" s="59"/>
      <c r="C59" s="59"/>
      <c r="D59" s="59"/>
      <c r="E59" s="59"/>
    </row>
    <row r="60" spans="1:5" x14ac:dyDescent="0.3">
      <c r="A60" s="59"/>
      <c r="B60" s="59"/>
      <c r="C60" s="59"/>
      <c r="D60" s="59"/>
      <c r="E60" s="59"/>
    </row>
    <row r="61" spans="1:5" x14ac:dyDescent="0.3">
      <c r="A61" s="59"/>
      <c r="B61" s="74" t="s">
        <v>85</v>
      </c>
      <c r="C61" s="74" t="s">
        <v>86</v>
      </c>
      <c r="D61" s="75" t="s">
        <v>87</v>
      </c>
      <c r="E61" s="75" t="s">
        <v>88</v>
      </c>
    </row>
    <row r="62" spans="1:5" x14ac:dyDescent="0.3">
      <c r="A62" s="59"/>
      <c r="B62" s="74">
        <f>B36</f>
        <v>20</v>
      </c>
      <c r="C62" s="74">
        <f>C36</f>
        <v>17</v>
      </c>
      <c r="D62" s="75">
        <f>D36</f>
        <v>8</v>
      </c>
      <c r="E62" s="75">
        <f>E36</f>
        <v>7</v>
      </c>
    </row>
    <row r="63" spans="1:5" x14ac:dyDescent="0.3">
      <c r="A63" s="59"/>
      <c r="B63" s="76">
        <f>C62/B62</f>
        <v>0.85</v>
      </c>
      <c r="C63" s="59"/>
      <c r="D63" s="76">
        <f>E62/D62</f>
        <v>0.875</v>
      </c>
      <c r="E63" s="59"/>
    </row>
    <row r="64" spans="1:5" x14ac:dyDescent="0.3">
      <c r="A64" s="59"/>
      <c r="B64" s="59"/>
      <c r="C64" s="59"/>
      <c r="D64" s="59"/>
      <c r="E64" s="59"/>
    </row>
    <row r="65" spans="1:5" x14ac:dyDescent="0.3">
      <c r="A65" s="59"/>
      <c r="B65" s="59"/>
      <c r="C65" s="59"/>
      <c r="D65" s="59"/>
      <c r="E65" s="59"/>
    </row>
    <row r="66" spans="1:5" x14ac:dyDescent="0.3">
      <c r="A66" s="59"/>
      <c r="B66" s="59"/>
      <c r="C66" s="59"/>
      <c r="D66" s="59"/>
      <c r="E66" s="59"/>
    </row>
    <row r="67" spans="1:5" x14ac:dyDescent="0.3">
      <c r="A67" s="59"/>
      <c r="B67" s="59"/>
      <c r="C67" s="59"/>
      <c r="D67" s="59"/>
      <c r="E67" s="59"/>
    </row>
    <row r="68" spans="1:5" x14ac:dyDescent="0.3">
      <c r="A68" s="59"/>
      <c r="B68" s="59"/>
      <c r="C68" s="59"/>
      <c r="D68" s="59"/>
      <c r="E68" s="59"/>
    </row>
    <row r="69" spans="1:5" ht="57.6" x14ac:dyDescent="0.3">
      <c r="A69" s="59"/>
      <c r="B69" s="59" t="s">
        <v>228</v>
      </c>
      <c r="C69" s="59" t="s">
        <v>229</v>
      </c>
      <c r="D69" s="59"/>
      <c r="E69" s="59"/>
    </row>
    <row r="70" spans="1:5" ht="72" x14ac:dyDescent="0.3">
      <c r="A70" s="59"/>
      <c r="B70" s="59" t="s">
        <v>230</v>
      </c>
      <c r="C70" s="59" t="s">
        <v>231</v>
      </c>
      <c r="D70" s="59"/>
      <c r="E70" s="59"/>
    </row>
    <row r="71" spans="1:5" x14ac:dyDescent="0.3">
      <c r="A71" s="59"/>
      <c r="B71" s="59"/>
      <c r="C71" s="59"/>
      <c r="D71" s="59"/>
      <c r="E71" s="59"/>
    </row>
    <row r="72" spans="1:5" ht="43.2" x14ac:dyDescent="0.3">
      <c r="A72" s="59"/>
      <c r="B72" s="59" t="s">
        <v>232</v>
      </c>
      <c r="C72" s="59" t="s">
        <v>233</v>
      </c>
      <c r="D72" s="59"/>
      <c r="E72" s="59"/>
    </row>
  </sheetData>
  <mergeCells count="21">
    <mergeCell ref="A14:E14"/>
    <mergeCell ref="B58:C58"/>
    <mergeCell ref="C2:D2"/>
    <mergeCell ref="C4:D4"/>
    <mergeCell ref="C5:D5"/>
    <mergeCell ref="C6:D6"/>
    <mergeCell ref="C7:D7"/>
    <mergeCell ref="C8:D8"/>
    <mergeCell ref="C9:D9"/>
    <mergeCell ref="C10:D10"/>
    <mergeCell ref="C11:D11"/>
    <mergeCell ref="C3:D3"/>
    <mergeCell ref="A2:B2"/>
    <mergeCell ref="A3:B3"/>
    <mergeCell ref="A5:B5"/>
    <mergeCell ref="A11:B11"/>
    <mergeCell ref="A4:B4"/>
    <mergeCell ref="A6:B6"/>
    <mergeCell ref="A7:B8"/>
    <mergeCell ref="A9:B9"/>
    <mergeCell ref="A10:B10"/>
  </mergeCells>
  <pageMargins left="0.70866141732283472" right="0.70866141732283472" top="0.74803149606299213" bottom="0.74803149606299213" header="0.31496062992125984" footer="0.31496062992125984"/>
  <pageSetup paperSize="9" scale="8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37"/>
  <sheetViews>
    <sheetView topLeftCell="B25" zoomScale="110" zoomScaleNormal="110" workbookViewId="0">
      <selection activeCell="E37" sqref="E37"/>
    </sheetView>
  </sheetViews>
  <sheetFormatPr baseColWidth="10" defaultRowHeight="14.4" x14ac:dyDescent="0.3"/>
  <cols>
    <col min="2" max="2" width="14.88671875" customWidth="1"/>
    <col min="3" max="3" width="83.6640625" customWidth="1"/>
  </cols>
  <sheetData>
    <row r="1" spans="2:10" x14ac:dyDescent="0.3">
      <c r="B1" s="205" t="s">
        <v>39</v>
      </c>
      <c r="C1" s="3" t="s">
        <v>141</v>
      </c>
    </row>
    <row r="2" spans="2:10" x14ac:dyDescent="0.3">
      <c r="B2" s="205"/>
      <c r="C2" s="3" t="s">
        <v>142</v>
      </c>
    </row>
    <row r="3" spans="2:10" x14ac:dyDescent="0.3">
      <c r="B3" s="205"/>
      <c r="C3" s="3" t="s">
        <v>143</v>
      </c>
      <c r="E3" s="204" t="s">
        <v>129</v>
      </c>
      <c r="F3" s="204"/>
      <c r="G3" s="204"/>
      <c r="H3" s="204"/>
      <c r="I3" s="204"/>
      <c r="J3" s="204"/>
    </row>
    <row r="4" spans="2:10" x14ac:dyDescent="0.3">
      <c r="B4" s="205"/>
      <c r="C4" s="3" t="s">
        <v>144</v>
      </c>
      <c r="E4" s="204"/>
      <c r="F4" s="204"/>
      <c r="G4" s="204"/>
      <c r="H4" s="204"/>
      <c r="I4" s="204"/>
      <c r="J4" s="204"/>
    </row>
    <row r="5" spans="2:10" x14ac:dyDescent="0.3">
      <c r="B5" s="205"/>
      <c r="C5" s="3" t="s">
        <v>128</v>
      </c>
      <c r="E5" s="204"/>
      <c r="F5" s="204"/>
      <c r="G5" s="204"/>
      <c r="H5" s="204"/>
      <c r="I5" s="204"/>
      <c r="J5" s="204"/>
    </row>
    <row r="6" spans="2:10" x14ac:dyDescent="0.3">
      <c r="B6" s="205"/>
      <c r="C6" s="3" t="s">
        <v>40</v>
      </c>
      <c r="E6" s="204"/>
      <c r="F6" s="204"/>
      <c r="G6" s="204"/>
      <c r="H6" s="204"/>
      <c r="I6" s="204"/>
      <c r="J6" s="204"/>
    </row>
    <row r="8" spans="2:10" ht="72" x14ac:dyDescent="0.3">
      <c r="B8" s="4" t="s">
        <v>23</v>
      </c>
      <c r="C8" s="5" t="s">
        <v>41</v>
      </c>
    </row>
    <row r="9" spans="2:10" ht="28.8" x14ac:dyDescent="0.3">
      <c r="B9" s="4" t="s">
        <v>24</v>
      </c>
      <c r="C9" s="5" t="s">
        <v>28</v>
      </c>
    </row>
    <row r="10" spans="2:10" ht="43.2" x14ac:dyDescent="0.3">
      <c r="B10" s="4" t="s">
        <v>25</v>
      </c>
      <c r="C10" s="9" t="s">
        <v>42</v>
      </c>
    </row>
    <row r="11" spans="2:10" ht="43.2" x14ac:dyDescent="0.3">
      <c r="B11" s="4" t="s">
        <v>130</v>
      </c>
      <c r="C11" s="5" t="s">
        <v>132</v>
      </c>
    </row>
    <row r="12" spans="2:10" ht="43.2" x14ac:dyDescent="0.3">
      <c r="B12" s="4" t="s">
        <v>131</v>
      </c>
      <c r="C12" s="5" t="s">
        <v>133</v>
      </c>
    </row>
    <row r="13" spans="2:10" ht="43.2" x14ac:dyDescent="0.3">
      <c r="B13" s="4" t="s">
        <v>26</v>
      </c>
      <c r="C13" s="5" t="s">
        <v>43</v>
      </c>
    </row>
    <row r="14" spans="2:10" ht="43.2" x14ac:dyDescent="0.3">
      <c r="B14" s="4" t="s">
        <v>27</v>
      </c>
      <c r="C14" s="5" t="s">
        <v>29</v>
      </c>
    </row>
    <row r="15" spans="2:10" ht="35.4" customHeight="1" x14ac:dyDescent="0.3">
      <c r="B15" s="4" t="s">
        <v>145</v>
      </c>
      <c r="C15" s="5" t="s">
        <v>146</v>
      </c>
    </row>
    <row r="16" spans="2:10" ht="49.8" customHeight="1" x14ac:dyDescent="0.3">
      <c r="B16" s="4" t="s">
        <v>147</v>
      </c>
      <c r="C16" s="5" t="s">
        <v>148</v>
      </c>
    </row>
    <row r="20" spans="3:5" ht="28.8" x14ac:dyDescent="0.3">
      <c r="C20" s="5" t="s">
        <v>32</v>
      </c>
    </row>
    <row r="22" spans="3:5" x14ac:dyDescent="0.3">
      <c r="C22" s="3" t="s">
        <v>33</v>
      </c>
      <c r="E22" s="6">
        <f>1/10</f>
        <v>0.1</v>
      </c>
    </row>
    <row r="23" spans="3:5" x14ac:dyDescent="0.3">
      <c r="C23" s="3" t="s">
        <v>34</v>
      </c>
      <c r="E23" s="6">
        <f>1/5</f>
        <v>0.2</v>
      </c>
    </row>
    <row r="24" spans="3:5" x14ac:dyDescent="0.3">
      <c r="C24" s="3" t="s">
        <v>35</v>
      </c>
      <c r="E24" s="6">
        <f>1/1</f>
        <v>1</v>
      </c>
    </row>
    <row r="25" spans="3:5" x14ac:dyDescent="0.3">
      <c r="C25" s="3" t="s">
        <v>36</v>
      </c>
    </row>
    <row r="26" spans="3:5" x14ac:dyDescent="0.3">
      <c r="C26" s="3" t="s">
        <v>37</v>
      </c>
    </row>
    <row r="28" spans="3:5" ht="28.8" x14ac:dyDescent="0.3">
      <c r="C28" s="24" t="s">
        <v>94</v>
      </c>
    </row>
    <row r="30" spans="3:5" x14ac:dyDescent="0.3">
      <c r="C30" s="3" t="s">
        <v>92</v>
      </c>
    </row>
    <row r="31" spans="3:5" x14ac:dyDescent="0.3">
      <c r="C31" s="3" t="s">
        <v>89</v>
      </c>
    </row>
    <row r="32" spans="3:5" x14ac:dyDescent="0.3">
      <c r="C32" s="3" t="s">
        <v>91</v>
      </c>
    </row>
    <row r="33" spans="3:3" x14ac:dyDescent="0.3">
      <c r="C33" s="3" t="s">
        <v>90</v>
      </c>
    </row>
    <row r="34" spans="3:3" x14ac:dyDescent="0.3">
      <c r="C34" s="3" t="s">
        <v>93</v>
      </c>
    </row>
    <row r="36" spans="3:3" ht="15" thickBot="1" x14ac:dyDescent="0.35"/>
    <row r="37" spans="3:3" ht="130.19999999999999" thickBot="1" x14ac:dyDescent="0.35">
      <c r="C37" s="47" t="s">
        <v>149</v>
      </c>
    </row>
  </sheetData>
  <mergeCells count="2">
    <mergeCell ref="E3:J6"/>
    <mergeCell ref="B1:B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B5596-508D-4BAE-AD50-0564E6DA8641}">
  <dimension ref="A1:L7"/>
  <sheetViews>
    <sheetView workbookViewId="0">
      <selection activeCell="E7" sqref="E7"/>
    </sheetView>
  </sheetViews>
  <sheetFormatPr baseColWidth="10" defaultRowHeight="14.4" x14ac:dyDescent="0.3"/>
  <cols>
    <col min="1" max="1" width="26.5546875" customWidth="1"/>
    <col min="2" max="2" width="24.6640625" customWidth="1"/>
    <col min="3" max="3" width="42.44140625" customWidth="1"/>
    <col min="4" max="4" width="40.6640625" customWidth="1"/>
    <col min="5" max="5" width="19.5546875" customWidth="1"/>
    <col min="6" max="6" width="20.6640625" customWidth="1"/>
  </cols>
  <sheetData>
    <row r="1" spans="1:12" ht="18" thickBot="1" x14ac:dyDescent="0.35">
      <c r="A1" s="43" t="s">
        <v>126</v>
      </c>
      <c r="B1" s="40"/>
      <c r="C1" s="40"/>
      <c r="D1" s="209" t="s">
        <v>139</v>
      </c>
      <c r="E1" s="209"/>
      <c r="F1" s="209"/>
    </row>
    <row r="2" spans="1:12" ht="59.25" customHeight="1" thickBot="1" x14ac:dyDescent="0.35">
      <c r="A2" s="206" t="s">
        <v>127</v>
      </c>
      <c r="B2" s="207"/>
      <c r="C2" s="208"/>
      <c r="D2" s="210" t="s">
        <v>140</v>
      </c>
      <c r="E2" s="211"/>
      <c r="F2" s="212"/>
      <c r="G2" s="38"/>
      <c r="H2" s="38"/>
      <c r="I2" s="38"/>
      <c r="J2" s="38"/>
      <c r="K2" s="38"/>
      <c r="L2" s="38"/>
    </row>
    <row r="3" spans="1:12" ht="28.2" thickBot="1" x14ac:dyDescent="0.35">
      <c r="A3" s="39" t="s">
        <v>111</v>
      </c>
      <c r="B3" s="39" t="s">
        <v>112</v>
      </c>
      <c r="C3" s="41" t="s">
        <v>113</v>
      </c>
      <c r="D3" s="44" t="s">
        <v>134</v>
      </c>
    </row>
    <row r="4" spans="1:12" ht="55.8" thickBot="1" x14ac:dyDescent="0.35">
      <c r="A4" s="36" t="s">
        <v>114</v>
      </c>
      <c r="B4" s="37" t="s">
        <v>115</v>
      </c>
      <c r="C4" s="42" t="s">
        <v>116</v>
      </c>
      <c r="D4" s="45" t="s">
        <v>135</v>
      </c>
    </row>
    <row r="5" spans="1:12" ht="55.8" thickBot="1" x14ac:dyDescent="0.35">
      <c r="A5" s="36" t="s">
        <v>117</v>
      </c>
      <c r="B5" s="37" t="s">
        <v>118</v>
      </c>
      <c r="C5" s="42" t="s">
        <v>119</v>
      </c>
      <c r="D5" s="45" t="s">
        <v>136</v>
      </c>
    </row>
    <row r="6" spans="1:12" ht="28.8" thickBot="1" x14ac:dyDescent="0.35">
      <c r="A6" s="36" t="s">
        <v>120</v>
      </c>
      <c r="B6" s="37" t="s">
        <v>121</v>
      </c>
      <c r="C6" s="42" t="s">
        <v>122</v>
      </c>
      <c r="D6" s="46" t="s">
        <v>138</v>
      </c>
    </row>
    <row r="7" spans="1:12" ht="70.2" thickBot="1" x14ac:dyDescent="0.35">
      <c r="A7" s="36" t="s">
        <v>123</v>
      </c>
      <c r="B7" s="37" t="s">
        <v>124</v>
      </c>
      <c r="C7" s="42" t="s">
        <v>125</v>
      </c>
      <c r="D7" s="46" t="s">
        <v>137</v>
      </c>
    </row>
  </sheetData>
  <mergeCells count="3">
    <mergeCell ref="A2:C2"/>
    <mergeCell ref="D1:F1"/>
    <mergeCell ref="D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INICIO</vt:lpstr>
      <vt:lpstr>EVA</vt:lpstr>
      <vt:lpstr>RES-RF-RNF</vt:lpstr>
      <vt:lpstr>TABLAS</vt:lpstr>
      <vt:lpstr>DETALLE-IEEE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FREDDY</dc:creator>
  <cp:lastModifiedBy>caroldacia@outlook.com</cp:lastModifiedBy>
  <cp:lastPrinted>2025-04-23T13:34:03Z</cp:lastPrinted>
  <dcterms:created xsi:type="dcterms:W3CDTF">2022-08-17T19:14:31Z</dcterms:created>
  <dcterms:modified xsi:type="dcterms:W3CDTF">2026-09-14T16:47:57Z</dcterms:modified>
</cp:coreProperties>
</file>